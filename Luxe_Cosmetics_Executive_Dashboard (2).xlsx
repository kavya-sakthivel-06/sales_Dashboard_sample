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 tabRatio="500" activeTab="1"/>
  </bookViews>
  <sheets>
    <sheet name="Raw_Data" sheetId="1" r:id="rId1"/>
    <sheet name="Cleaned_Data" sheetId="2" r:id="rId2"/>
    <sheet name="Pivot_Tables" sheetId="3" r:id="rId3"/>
    <sheet name="Dashboard" sheetId="4" r:id="rId4"/>
    <sheet name="Documentation" sheetId="5" r:id="rId5"/>
  </sheets>
  <definedNames>
    <definedName name="_xlnm.Print_Area" localSheetId="3">Dashboard!$A$1:$P$84</definedName>
    <definedName name="Sel_Region">Dashboard!$C$7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<sst xmlns="http://schemas.openxmlformats.org/spreadsheetml/2006/main" count="4138" uniqueCount="800">
  <si>
    <t>RAW DATA (as originally captured — unclean)</t>
  </si>
  <si>
    <t>OrderID</t>
  </si>
  <si>
    <t>OrderDate</t>
  </si>
  <si>
    <t>CustomerName</t>
  </si>
  <si>
    <t>Region</t>
  </si>
  <si>
    <t>Category</t>
  </si>
  <si>
    <t>Product</t>
  </si>
  <si>
    <t>Brand</t>
  </si>
  <si>
    <t>Units</t>
  </si>
  <si>
    <t>UnitPrice</t>
  </si>
  <si>
    <t>UnitCost</t>
  </si>
  <si>
    <t>Discount</t>
  </si>
  <si>
    <t>PaymentMethod</t>
  </si>
  <si>
    <t>ORD1001</t>
  </si>
  <si>
    <t>2025/03/31</t>
  </si>
  <si>
    <t>EAST</t>
  </si>
  <si>
    <t>Skincare</t>
  </si>
  <si>
    <t>Glow Serum</t>
  </si>
  <si>
    <t>Rosea</t>
  </si>
  <si>
    <t>Credit Card</t>
  </si>
  <si>
    <t>ORD1002</t>
  </si>
  <si>
    <t>2025/12/11</t>
  </si>
  <si>
    <t>Riya Iyer</t>
  </si>
  <si>
    <t>NORTH</t>
  </si>
  <si>
    <t>Accessories</t>
  </si>
  <si>
    <t>Rose Gold Mirror</t>
  </si>
  <si>
    <t>Net Banking</t>
  </si>
  <si>
    <t>ORD1003</t>
  </si>
  <si>
    <t>2025/08/22</t>
  </si>
  <si>
    <t>Neha Iyer</t>
  </si>
  <si>
    <t>Central</t>
  </si>
  <si>
    <t>Aurelia</t>
  </si>
  <si>
    <t>UPI</t>
  </si>
  <si>
    <t>ORD1004</t>
  </si>
  <si>
    <t>13-08-2025</t>
  </si>
  <si>
    <t>Rohan Bose</t>
  </si>
  <si>
    <t>south</t>
  </si>
  <si>
    <t>Pearl Mask</t>
  </si>
  <si>
    <t>Lumiere</t>
  </si>
  <si>
    <t>ORD1005</t>
  </si>
  <si>
    <t>15-03-2026</t>
  </si>
  <si>
    <t>South</t>
  </si>
  <si>
    <t>Haircare</t>
  </si>
  <si>
    <t>Curl Cream</t>
  </si>
  <si>
    <t>Debit Card</t>
  </si>
  <si>
    <t>ORD1006</t>
  </si>
  <si>
    <t>12-01-2025</t>
  </si>
  <si>
    <t xml:space="preserve">  Riya Pillai  </t>
  </si>
  <si>
    <t>West</t>
  </si>
  <si>
    <t>Silk Moisturizer</t>
  </si>
  <si>
    <t>Wallet</t>
  </si>
  <si>
    <t>ORD1007</t>
  </si>
  <si>
    <t>06-06-2025</t>
  </si>
  <si>
    <t xml:space="preserve">  Aarav Malhotra  </t>
  </si>
  <si>
    <t>North</t>
  </si>
  <si>
    <t>Makeup</t>
  </si>
  <si>
    <t>Shimmer Palette</t>
  </si>
  <si>
    <t>Velour</t>
  </si>
  <si>
    <t>ORD1008</t>
  </si>
  <si>
    <t>2025/03/12</t>
  </si>
  <si>
    <t>Kiran Malhotra</t>
  </si>
  <si>
    <t>Fragrance</t>
  </si>
  <si>
    <t>Musk Attar</t>
  </si>
  <si>
    <t>ORD1009</t>
  </si>
  <si>
    <t>04-05-2025</t>
  </si>
  <si>
    <t>Anaya Nair</t>
  </si>
  <si>
    <t>Blush Duo</t>
  </si>
  <si>
    <t>ORD1010</t>
  </si>
  <si>
    <t>2026/04/30</t>
  </si>
  <si>
    <t>Anaya Malhotra</t>
  </si>
  <si>
    <t>skincare</t>
  </si>
  <si>
    <t>ORD1011</t>
  </si>
  <si>
    <t>2025/07/14</t>
  </si>
  <si>
    <t>Kiran Verma</t>
  </si>
  <si>
    <t>ORD1012</t>
  </si>
  <si>
    <t>2025/03/02</t>
  </si>
  <si>
    <t>Sara Gupta</t>
  </si>
  <si>
    <t>ORD1013</t>
  </si>
  <si>
    <t>18-11-2025</t>
  </si>
  <si>
    <t>Kavya Sharma</t>
  </si>
  <si>
    <t>East</t>
  </si>
  <si>
    <t>Satin Foundation</t>
  </si>
  <si>
    <t>ORD1014</t>
  </si>
  <si>
    <t>2026/06/20</t>
  </si>
  <si>
    <t>Rohan Joshi</t>
  </si>
  <si>
    <t>Argan Shampoo</t>
  </si>
  <si>
    <t>ORD1015</t>
  </si>
  <si>
    <t>2025/12/24</t>
  </si>
  <si>
    <t>Meera Joshi</t>
  </si>
  <si>
    <t>Shine Serum</t>
  </si>
  <si>
    <t>Belle Luxe</t>
  </si>
  <si>
    <t>ORD1016</t>
  </si>
  <si>
    <t>06-10-2025</t>
  </si>
  <si>
    <t>Neha Rao</t>
  </si>
  <si>
    <t>Bloom Eau de Parfum</t>
  </si>
  <si>
    <t>ORD1017</t>
  </si>
  <si>
    <t>2026/03/29</t>
  </si>
  <si>
    <t xml:space="preserve">  Kiran Chatterjee  </t>
  </si>
  <si>
    <t>north</t>
  </si>
  <si>
    <t>ORD1018</t>
  </si>
  <si>
    <t>29-12-2025</t>
  </si>
  <si>
    <t>Kiran Joshi</t>
  </si>
  <si>
    <t>Hydra Mist</t>
  </si>
  <si>
    <t>ORD1019</t>
  </si>
  <si>
    <t>2025/02/09</t>
  </si>
  <si>
    <t xml:space="preserve">  Dev Nair  </t>
  </si>
  <si>
    <t>Vanilla Mist</t>
  </si>
  <si>
    <t>ORD1020</t>
  </si>
  <si>
    <t>2025/04/29</t>
  </si>
  <si>
    <t>Priya Reddy</t>
  </si>
  <si>
    <t>fragrance</t>
  </si>
  <si>
    <t>Citrus Cologne</t>
  </si>
  <si>
    <t>Petal &amp; Co</t>
  </si>
  <si>
    <t>ORD1021</t>
  </si>
  <si>
    <t>2025/07/21</t>
  </si>
  <si>
    <t>Aarav Gupta</t>
  </si>
  <si>
    <t>Velvet Scrunchie</t>
  </si>
  <si>
    <t>ORD1022</t>
  </si>
  <si>
    <t>28-06-2025</t>
  </si>
  <si>
    <t>Tara Rao</t>
  </si>
  <si>
    <t>Amber Oud</t>
  </si>
  <si>
    <t>ORD1023</t>
  </si>
  <si>
    <t>10-12-2025</t>
  </si>
  <si>
    <t>Meera Bose</t>
  </si>
  <si>
    <t>Satin Headband</t>
  </si>
  <si>
    <t>ORD1024</t>
  </si>
  <si>
    <t>2025/04/20</t>
  </si>
  <si>
    <t>Kabir Nair</t>
  </si>
  <si>
    <t>ORD1025</t>
  </si>
  <si>
    <t>02-04-2026</t>
  </si>
  <si>
    <t>Sara Chatterjee</t>
  </si>
  <si>
    <t>Jewel Comb</t>
  </si>
  <si>
    <t>ORD1026</t>
  </si>
  <si>
    <t>Diya Iyer</t>
  </si>
  <si>
    <t>ORD1027</t>
  </si>
  <si>
    <t>06-03-2026</t>
  </si>
  <si>
    <t>Cash on Delivery</t>
  </si>
  <si>
    <t>ORD1028</t>
  </si>
  <si>
    <t>28-01-2025</t>
  </si>
  <si>
    <t>Meera Pillai</t>
  </si>
  <si>
    <t>SOUTH</t>
  </si>
  <si>
    <t>Kohl Eyeliner</t>
  </si>
  <si>
    <t>ORD1029</t>
  </si>
  <si>
    <t>18-08-2025</t>
  </si>
  <si>
    <t>Meera Malhotra</t>
  </si>
  <si>
    <t>haircare</t>
  </si>
  <si>
    <t>Repair Oil</t>
  </si>
  <si>
    <t>ORD1030</t>
  </si>
  <si>
    <t>2025/04/28</t>
  </si>
  <si>
    <t>Sara Menon</t>
  </si>
  <si>
    <t>ORD1031</t>
  </si>
  <si>
    <t>12-02-2025</t>
  </si>
  <si>
    <t>Aarav Das</t>
  </si>
  <si>
    <t>east</t>
  </si>
  <si>
    <t>Velvet Lipstick</t>
  </si>
  <si>
    <t>ORD1032</t>
  </si>
  <si>
    <t>2026/05/11</t>
  </si>
  <si>
    <t>Arjun Gupta</t>
  </si>
  <si>
    <t>Silk Conditioner</t>
  </si>
  <si>
    <t>ORD1033</t>
  </si>
  <si>
    <t>2025/12/15</t>
  </si>
  <si>
    <t>Priya Joshi</t>
  </si>
  <si>
    <t>ORD1034</t>
  </si>
  <si>
    <t>2026/01/13</t>
  </si>
  <si>
    <t>Dev Das</t>
  </si>
  <si>
    <t>ORD1035</t>
  </si>
  <si>
    <t>2026/06/22</t>
  </si>
  <si>
    <t>Tara Menon</t>
  </si>
  <si>
    <t>ORD1036</t>
  </si>
  <si>
    <t>2025/07/08</t>
  </si>
  <si>
    <t>Kavya Menon</t>
  </si>
  <si>
    <t>makeup</t>
  </si>
  <si>
    <t>ORD1037</t>
  </si>
  <si>
    <t>Vihaan Verma</t>
  </si>
  <si>
    <t>Rose Cleanser</t>
  </si>
  <si>
    <t>ORD1038</t>
  </si>
  <si>
    <t>07-04-2026</t>
  </si>
  <si>
    <t>Tara Verma</t>
  </si>
  <si>
    <t>ORD1039</t>
  </si>
  <si>
    <t>2025/05/26</t>
  </si>
  <si>
    <t>Meera Sharma</t>
  </si>
  <si>
    <t>ORD1040</t>
  </si>
  <si>
    <t>2025/09/14</t>
  </si>
  <si>
    <t>Aanya Iyer</t>
  </si>
  <si>
    <t>ORD1041</t>
  </si>
  <si>
    <t>19-05-2026</t>
  </si>
  <si>
    <t>Meera Verma</t>
  </si>
  <si>
    <t>ORD1042</t>
  </si>
  <si>
    <t>2026/06/11</t>
  </si>
  <si>
    <t>Aanya Pillai</t>
  </si>
  <si>
    <t>ORD1043</t>
  </si>
  <si>
    <t>2025/06/12</t>
  </si>
  <si>
    <t>Neha Das</t>
  </si>
  <si>
    <t>west</t>
  </si>
  <si>
    <t>ORD1044</t>
  </si>
  <si>
    <t>2025/07/15</t>
  </si>
  <si>
    <t>Tara Das</t>
  </si>
  <si>
    <t>ORD1045</t>
  </si>
  <si>
    <t>2025/12/20</t>
  </si>
  <si>
    <t>Rohan Das</t>
  </si>
  <si>
    <t>ORD1046</t>
  </si>
  <si>
    <t>2025/05/10</t>
  </si>
  <si>
    <t>Yash Rao</t>
  </si>
  <si>
    <t>ORD1047</t>
  </si>
  <si>
    <t>2026/01/25</t>
  </si>
  <si>
    <t>Rohan Pillai</t>
  </si>
  <si>
    <t>ORD1048</t>
  </si>
  <si>
    <t>2025/02/27</t>
  </si>
  <si>
    <t>Neha Kapoor</t>
  </si>
  <si>
    <t>ORD1049</t>
  </si>
  <si>
    <t>2025/01/10</t>
  </si>
  <si>
    <t>Arjun Joshi</t>
  </si>
  <si>
    <t>ORD1050</t>
  </si>
  <si>
    <t>2025/10/30</t>
  </si>
  <si>
    <t>Aanya Bose</t>
  </si>
  <si>
    <t>ORD1051</t>
  </si>
  <si>
    <t>2025/05/21</t>
  </si>
  <si>
    <t>Riya Joshi</t>
  </si>
  <si>
    <t>ORD1052</t>
  </si>
  <si>
    <t>2026/05/09</t>
  </si>
  <si>
    <t>Neha Chatterjee</t>
  </si>
  <si>
    <t>ORD1053</t>
  </si>
  <si>
    <t>26-09-2025</t>
  </si>
  <si>
    <t>Zoya Gupta</t>
  </si>
  <si>
    <t>ORD1054</t>
  </si>
  <si>
    <t>Riya Nair</t>
  </si>
  <si>
    <t>WEST</t>
  </si>
  <si>
    <t>ORD1055</t>
  </si>
  <si>
    <t>2026/01/15</t>
  </si>
  <si>
    <t>Diya Verma</t>
  </si>
  <si>
    <t>ORD1056</t>
  </si>
  <si>
    <t>2025/02/21</t>
  </si>
  <si>
    <t>Rohan Nair</t>
  </si>
  <si>
    <t>ORD1057</t>
  </si>
  <si>
    <t>27-01-2025</t>
  </si>
  <si>
    <t>Pearl Hairclip</t>
  </si>
  <si>
    <t>ORD1058</t>
  </si>
  <si>
    <t>2026/06/18</t>
  </si>
  <si>
    <t>Neha Verma</t>
  </si>
  <si>
    <t>central</t>
  </si>
  <si>
    <t>ORD1059</t>
  </si>
  <si>
    <t>2025/11/29</t>
  </si>
  <si>
    <t>Vihaan Rao</t>
  </si>
  <si>
    <t>ORD1060</t>
  </si>
  <si>
    <t>2025/04/08</t>
  </si>
  <si>
    <t>Rohan Gupta</t>
  </si>
  <si>
    <t>ORD1061</t>
  </si>
  <si>
    <t>2025/12/29</t>
  </si>
  <si>
    <t>Kabir Bose</t>
  </si>
  <si>
    <t>ORD1062</t>
  </si>
  <si>
    <t>2025/01/27</t>
  </si>
  <si>
    <t>Tara Joshi</t>
  </si>
  <si>
    <t>ORD1063</t>
  </si>
  <si>
    <t>2025/08/09</t>
  </si>
  <si>
    <t>Vihaan Gupta</t>
  </si>
  <si>
    <t>ORD1064</t>
  </si>
  <si>
    <t xml:space="preserve">  Yash Iyer  </t>
  </si>
  <si>
    <t>ORD1065</t>
  </si>
  <si>
    <t>2026/03/17</t>
  </si>
  <si>
    <t>Sara Reddy</t>
  </si>
  <si>
    <t>ORD1066</t>
  </si>
  <si>
    <t>Vihaan Sharma</t>
  </si>
  <si>
    <t>ORD1067</t>
  </si>
  <si>
    <t>2026/06/07</t>
  </si>
  <si>
    <t>Riya Das</t>
  </si>
  <si>
    <t>ORD1068</t>
  </si>
  <si>
    <t>2026/04/05</t>
  </si>
  <si>
    <t>Zoya Pillai</t>
  </si>
  <si>
    <t>ORD1069</t>
  </si>
  <si>
    <t>2025/10/21</t>
  </si>
  <si>
    <t>ORD1070</t>
  </si>
  <si>
    <t>2025/12/18</t>
  </si>
  <si>
    <t>Meera Das</t>
  </si>
  <si>
    <t>ORD1071</t>
  </si>
  <si>
    <t>31-01-2026</t>
  </si>
  <si>
    <t>Neha Menon</t>
  </si>
  <si>
    <t>ORD1072</t>
  </si>
  <si>
    <t>2025/12/03</t>
  </si>
  <si>
    <t>Ishita Pillai</t>
  </si>
  <si>
    <t>ORD1073</t>
  </si>
  <si>
    <t>2025/04/14</t>
  </si>
  <si>
    <t>Yash Malhotra</t>
  </si>
  <si>
    <t>ORD1074</t>
  </si>
  <si>
    <t>2025/10/19</t>
  </si>
  <si>
    <t>Arjun Nair</t>
  </si>
  <si>
    <t>ORD1075</t>
  </si>
  <si>
    <t>Kavya Pillai</t>
  </si>
  <si>
    <t>ORD1076</t>
  </si>
  <si>
    <t>24-02-2025</t>
  </si>
  <si>
    <t>Vihaan Das</t>
  </si>
  <si>
    <t>ORD1077</t>
  </si>
  <si>
    <t>20-01-2025</t>
  </si>
  <si>
    <t>Priya Nair</t>
  </si>
  <si>
    <t>ORD1078</t>
  </si>
  <si>
    <t>2025/09/05</t>
  </si>
  <si>
    <t>Ishita Menon</t>
  </si>
  <si>
    <t>ORD1079</t>
  </si>
  <si>
    <t>2026/02/01</t>
  </si>
  <si>
    <t>Aarav Menon</t>
  </si>
  <si>
    <t>CENTRAL</t>
  </si>
  <si>
    <t>ORD1080</t>
  </si>
  <si>
    <t>2026/05/06</t>
  </si>
  <si>
    <t xml:space="preserve">  Sara Malhotra  </t>
  </si>
  <si>
    <t>ORD1081</t>
  </si>
  <si>
    <t>2026/01/01</t>
  </si>
  <si>
    <t>Kavya Bose</t>
  </si>
  <si>
    <t>ORD1082</t>
  </si>
  <si>
    <t>04-07-2025</t>
  </si>
  <si>
    <t>Kiran Menon</t>
  </si>
  <si>
    <t>ORD1083</t>
  </si>
  <si>
    <t>2026/02/20</t>
  </si>
  <si>
    <t xml:space="preserve">  Aarav Das  </t>
  </si>
  <si>
    <t>ORD1084</t>
  </si>
  <si>
    <t>31-03-2026</t>
  </si>
  <si>
    <t>Meera Rao</t>
  </si>
  <si>
    <t>ORD1085</t>
  </si>
  <si>
    <t>24-07-2025</t>
  </si>
  <si>
    <t>Riya Reddy</t>
  </si>
  <si>
    <t>ORD1086</t>
  </si>
  <si>
    <t>2026/01/06</t>
  </si>
  <si>
    <t>Yash Nair</t>
  </si>
  <si>
    <t>ORD1087</t>
  </si>
  <si>
    <t>2026/02/24</t>
  </si>
  <si>
    <t>Zoya Iyer</t>
  </si>
  <si>
    <t>ORD1088</t>
  </si>
  <si>
    <t>2025/11/27</t>
  </si>
  <si>
    <t>Anaya Kapoor</t>
  </si>
  <si>
    <t>ORD1089</t>
  </si>
  <si>
    <t>2025/12/12</t>
  </si>
  <si>
    <t>Zoya Sharma</t>
  </si>
  <si>
    <t>ORD1090</t>
  </si>
  <si>
    <t>2026/04/10</t>
  </si>
  <si>
    <t>Meera Chatterjee</t>
  </si>
  <si>
    <t>ORD1091</t>
  </si>
  <si>
    <t>2025/10/01</t>
  </si>
  <si>
    <t>ORD1092</t>
  </si>
  <si>
    <t>2026/05/25</t>
  </si>
  <si>
    <t>ORD1093</t>
  </si>
  <si>
    <t>2026/02/17</t>
  </si>
  <si>
    <t>Aarav Sharma</t>
  </si>
  <si>
    <t>ORD1094</t>
  </si>
  <si>
    <t>10-01-2026</t>
  </si>
  <si>
    <t>Ishita Nair</t>
  </si>
  <si>
    <t>accessories</t>
  </si>
  <si>
    <t>ORD1095</t>
  </si>
  <si>
    <t>Yash Bose</t>
  </si>
  <si>
    <t>ORD1096</t>
  </si>
  <si>
    <t>Kavya Rao</t>
  </si>
  <si>
    <t>ORD1097</t>
  </si>
  <si>
    <t>2026/04/28</t>
  </si>
  <si>
    <t>Kavya Chatterjee</t>
  </si>
  <si>
    <t>ORD1098</t>
  </si>
  <si>
    <t>2025/10/23</t>
  </si>
  <si>
    <t>Diya Chatterjee</t>
  </si>
  <si>
    <t>ORD1099</t>
  </si>
  <si>
    <t>Priya Chatterjee</t>
  </si>
  <si>
    <t>ORD1100</t>
  </si>
  <si>
    <t>Aanya Das</t>
  </si>
  <si>
    <t>ORD1101</t>
  </si>
  <si>
    <t>2026/03/04</t>
  </si>
  <si>
    <t>Sara Joshi</t>
  </si>
  <si>
    <t>ORD1102</t>
  </si>
  <si>
    <t>2026/06/01</t>
  </si>
  <si>
    <t xml:space="preserve">  Arjun Menon  </t>
  </si>
  <si>
    <t>ORD1103</t>
  </si>
  <si>
    <t>2026/02/15</t>
  </si>
  <si>
    <t>ORD1104</t>
  </si>
  <si>
    <t>30-05-2026</t>
  </si>
  <si>
    <t>ORD1105</t>
  </si>
  <si>
    <t>25-03-2025</t>
  </si>
  <si>
    <t>Yash Verma</t>
  </si>
  <si>
    <t>ORD1106</t>
  </si>
  <si>
    <t>2026/04/02</t>
  </si>
  <si>
    <t>Kavya Verma</t>
  </si>
  <si>
    <t>ORD1107</t>
  </si>
  <si>
    <t>Dev Sharma</t>
  </si>
  <si>
    <t>ORD1108</t>
  </si>
  <si>
    <t>2025/12/23</t>
  </si>
  <si>
    <t>ORD1109</t>
  </si>
  <si>
    <t>26-04-2025</t>
  </si>
  <si>
    <t>Kavya Malhotra</t>
  </si>
  <si>
    <t>ORD1110</t>
  </si>
  <si>
    <t>Ishita Das</t>
  </si>
  <si>
    <t>ORD1111</t>
  </si>
  <si>
    <t>2025/06/29</t>
  </si>
  <si>
    <t>Kabir Das</t>
  </si>
  <si>
    <t>ORD1112</t>
  </si>
  <si>
    <t>20-04-2026</t>
  </si>
  <si>
    <t>Kavya Das</t>
  </si>
  <si>
    <t>ORD1113</t>
  </si>
  <si>
    <t>2025/07/12</t>
  </si>
  <si>
    <t xml:space="preserve">  Zoya Chatterjee  </t>
  </si>
  <si>
    <t>ORD1114</t>
  </si>
  <si>
    <t>2025/10/17</t>
  </si>
  <si>
    <t>ORD1115</t>
  </si>
  <si>
    <t>2025/01/17</t>
  </si>
  <si>
    <t>Priya Das</t>
  </si>
  <si>
    <t>ORD1116</t>
  </si>
  <si>
    <t>2026/05/16</t>
  </si>
  <si>
    <t>ORD1117</t>
  </si>
  <si>
    <t>2026/05/10</t>
  </si>
  <si>
    <t>ORD1118</t>
  </si>
  <si>
    <t>Priya Malhotra</t>
  </si>
  <si>
    <t>ORD1119</t>
  </si>
  <si>
    <t>2025/06/25</t>
  </si>
  <si>
    <t>ORD1120</t>
  </si>
  <si>
    <t>03-02-2025</t>
  </si>
  <si>
    <t>ORD1121</t>
  </si>
  <si>
    <t>2025/03/22</t>
  </si>
  <si>
    <t>Yash Chatterjee</t>
  </si>
  <si>
    <t>ORD1122</t>
  </si>
  <si>
    <t>2025/07/10</t>
  </si>
  <si>
    <t>ORD1123</t>
  </si>
  <si>
    <t>2025/10/04</t>
  </si>
  <si>
    <t>ORD1124</t>
  </si>
  <si>
    <t>06-09-2025</t>
  </si>
  <si>
    <t>Zoya Das</t>
  </si>
  <si>
    <t>ORD1125</t>
  </si>
  <si>
    <t>ORD1126</t>
  </si>
  <si>
    <t>2025/11/23</t>
  </si>
  <si>
    <t>ORD1127</t>
  </si>
  <si>
    <t>26-10-2025</t>
  </si>
  <si>
    <t>ORD1128</t>
  </si>
  <si>
    <t>29-03-2025</t>
  </si>
  <si>
    <t>Riya Malhotra</t>
  </si>
  <si>
    <t>ORD1129</t>
  </si>
  <si>
    <t>15-08-2025</t>
  </si>
  <si>
    <t>Arjun Kapoor</t>
  </si>
  <si>
    <t>ORD1130</t>
  </si>
  <si>
    <t>2026/05/03</t>
  </si>
  <si>
    <t>Riya Verma</t>
  </si>
  <si>
    <t>ORD1131</t>
  </si>
  <si>
    <t>2025/08/26</t>
  </si>
  <si>
    <t>Vihaan Pillai</t>
  </si>
  <si>
    <t>ORD1132</t>
  </si>
  <si>
    <t>2025/04/27</t>
  </si>
  <si>
    <t>Priya Pillai</t>
  </si>
  <si>
    <t>ORD1133</t>
  </si>
  <si>
    <t>2025/04/30</t>
  </si>
  <si>
    <t>Sara Kapoor</t>
  </si>
  <si>
    <t>ORD1134</t>
  </si>
  <si>
    <t>2025/02/24</t>
  </si>
  <si>
    <t>ORD1135</t>
  </si>
  <si>
    <t>2025/10/09</t>
  </si>
  <si>
    <t>Anaya Das</t>
  </si>
  <si>
    <t>ORD1136</t>
  </si>
  <si>
    <t>2025/09/11</t>
  </si>
  <si>
    <t>Neha Bose</t>
  </si>
  <si>
    <t>ORD1137</t>
  </si>
  <si>
    <t>Zoya Kapoor</t>
  </si>
  <si>
    <t>ORD1138</t>
  </si>
  <si>
    <t>2025/05/16</t>
  </si>
  <si>
    <t>Anaya Reddy</t>
  </si>
  <si>
    <t>ORD1139</t>
  </si>
  <si>
    <t>2026/05/15</t>
  </si>
  <si>
    <t>Rohan Rao</t>
  </si>
  <si>
    <t>ORD1140</t>
  </si>
  <si>
    <t>14-05-2025</t>
  </si>
  <si>
    <t>Zoya Bose</t>
  </si>
  <si>
    <t>ORD1141</t>
  </si>
  <si>
    <t>ORD1142</t>
  </si>
  <si>
    <t>2026/04/01</t>
  </si>
  <si>
    <t>Aanya Sharma</t>
  </si>
  <si>
    <t>ORD1143</t>
  </si>
  <si>
    <t>2026/06/28</t>
  </si>
  <si>
    <t>ORD1144</t>
  </si>
  <si>
    <t>2025/05/24</t>
  </si>
  <si>
    <t>Anaya Menon</t>
  </si>
  <si>
    <t>ORD1145</t>
  </si>
  <si>
    <t>2025/02/25</t>
  </si>
  <si>
    <t>Anaya Verma</t>
  </si>
  <si>
    <t>ORD1146</t>
  </si>
  <si>
    <t>2025/03/16</t>
  </si>
  <si>
    <t>Aanya Rao</t>
  </si>
  <si>
    <t>ORD1147</t>
  </si>
  <si>
    <t>2025/11/14</t>
  </si>
  <si>
    <t>ORD1148</t>
  </si>
  <si>
    <t>2025/11/13</t>
  </si>
  <si>
    <t>Sara Iyer</t>
  </si>
  <si>
    <t>ORD1149</t>
  </si>
  <si>
    <t>2025/03/20</t>
  </si>
  <si>
    <t>Dev Verma</t>
  </si>
  <si>
    <t>ORD1150</t>
  </si>
  <si>
    <t>2025/07/03</t>
  </si>
  <si>
    <t>ORD1151</t>
  </si>
  <si>
    <t>ORD1152</t>
  </si>
  <si>
    <t>2025/12/21</t>
  </si>
  <si>
    <t>Aanya Kapoor</t>
  </si>
  <si>
    <t>ORD1153</t>
  </si>
  <si>
    <t>2026/01/17</t>
  </si>
  <si>
    <t>Arjun Chatterjee</t>
  </si>
  <si>
    <t>ORD1154</t>
  </si>
  <si>
    <t>2025/05/20</t>
  </si>
  <si>
    <t>ORD1155</t>
  </si>
  <si>
    <t>09-08-2025</t>
  </si>
  <si>
    <t>Rohan Reddy</t>
  </si>
  <si>
    <t>ORD1156</t>
  </si>
  <si>
    <t>2025/01/13</t>
  </si>
  <si>
    <t>ORD1157</t>
  </si>
  <si>
    <t>2025/12/06</t>
  </si>
  <si>
    <t>Riya Sharma</t>
  </si>
  <si>
    <t>ORD1158</t>
  </si>
  <si>
    <t>Dev Gupta</t>
  </si>
  <si>
    <t>ORD1159</t>
  </si>
  <si>
    <t>2026/05/30</t>
  </si>
  <si>
    <t>ORD1160</t>
  </si>
  <si>
    <t>27-02-2025</t>
  </si>
  <si>
    <t>Anaya Rao</t>
  </si>
  <si>
    <t>ORD1161</t>
  </si>
  <si>
    <t>20-05-2026</t>
  </si>
  <si>
    <t xml:space="preserve">  Kiran Menon  </t>
  </si>
  <si>
    <t>ORD1162</t>
  </si>
  <si>
    <t>2025/04/24</t>
  </si>
  <si>
    <t>ORD1163</t>
  </si>
  <si>
    <t>01-01-2026</t>
  </si>
  <si>
    <t xml:space="preserve">  Anaya Pillai  </t>
  </si>
  <si>
    <t>ORD1164</t>
  </si>
  <si>
    <t>17-04-2025</t>
  </si>
  <si>
    <t>Dev Reddy</t>
  </si>
  <si>
    <t>ORD1165</t>
  </si>
  <si>
    <t>2025/04/21</t>
  </si>
  <si>
    <t>ORD1166</t>
  </si>
  <si>
    <t>23-11-2025</t>
  </si>
  <si>
    <t>Priya Iyer</t>
  </si>
  <si>
    <t>ORD1167</t>
  </si>
  <si>
    <t>14-07-2025</t>
  </si>
  <si>
    <t xml:space="preserve">  Kabir Chatterjee  </t>
  </si>
  <si>
    <t>ORD1168</t>
  </si>
  <si>
    <t>2025/07/24</t>
  </si>
  <si>
    <t>ORD1169</t>
  </si>
  <si>
    <t>2026/03/27</t>
  </si>
  <si>
    <t>Arjun Menon</t>
  </si>
  <si>
    <t>ORD1170</t>
  </si>
  <si>
    <t>2026/05/02</t>
  </si>
  <si>
    <t>Zoya Joshi</t>
  </si>
  <si>
    <t>ORD1171</t>
  </si>
  <si>
    <t>ORD1172</t>
  </si>
  <si>
    <t>Kabir Reddy</t>
  </si>
  <si>
    <t>ORD1173</t>
  </si>
  <si>
    <t>2025/10/10</t>
  </si>
  <si>
    <t>Vihaan Reddy</t>
  </si>
  <si>
    <t>ORD1174</t>
  </si>
  <si>
    <t>11-04-2025</t>
  </si>
  <si>
    <t>ORD1175</t>
  </si>
  <si>
    <t>2026/06/03</t>
  </si>
  <si>
    <t>ORD1176</t>
  </si>
  <si>
    <t>Aarav Verma</t>
  </si>
  <si>
    <t>ORD1177</t>
  </si>
  <si>
    <t>2025/08/19</t>
  </si>
  <si>
    <t>ORD1178</t>
  </si>
  <si>
    <t>ORD1179</t>
  </si>
  <si>
    <t>29-11-2025</t>
  </si>
  <si>
    <t>Priya Menon</t>
  </si>
  <si>
    <t>ORD1180</t>
  </si>
  <si>
    <t>2026/02/19</t>
  </si>
  <si>
    <t>Vihaan Chatterjee</t>
  </si>
  <si>
    <t>ORD1181</t>
  </si>
  <si>
    <t>Ishita Chatterjee</t>
  </si>
  <si>
    <t>ORD1182</t>
  </si>
  <si>
    <t>Zoya Rao</t>
  </si>
  <si>
    <t>ORD1183</t>
  </si>
  <si>
    <t>2025/11/20</t>
  </si>
  <si>
    <t>ORD1184</t>
  </si>
  <si>
    <t>2026/01/28</t>
  </si>
  <si>
    <t>ORD1185</t>
  </si>
  <si>
    <t>2025/02/16</t>
  </si>
  <si>
    <t>ORD1186</t>
  </si>
  <si>
    <t>ORD1187</t>
  </si>
  <si>
    <t>2025/06/06</t>
  </si>
  <si>
    <t>ORD1188</t>
  </si>
  <si>
    <t>2025/09/27</t>
  </si>
  <si>
    <t>ORD1189</t>
  </si>
  <si>
    <t>14-04-2025</t>
  </si>
  <si>
    <t>ORD1190</t>
  </si>
  <si>
    <t>Aarav Joshi</t>
  </si>
  <si>
    <t>ORD1191</t>
  </si>
  <si>
    <t>2025/06/13</t>
  </si>
  <si>
    <t>Riya Gupta</t>
  </si>
  <si>
    <t>ORD1192</t>
  </si>
  <si>
    <t>Aanya Chatterjee</t>
  </si>
  <si>
    <t>ORD1193</t>
  </si>
  <si>
    <t>25-02-2025</t>
  </si>
  <si>
    <t>ORD1194</t>
  </si>
  <si>
    <t>2025/04/01</t>
  </si>
  <si>
    <t>ORD1195</t>
  </si>
  <si>
    <t>2026/01/08</t>
  </si>
  <si>
    <t>ORD1196</t>
  </si>
  <si>
    <t>16-02-2025</t>
  </si>
  <si>
    <t>Sara Verma</t>
  </si>
  <si>
    <t>ORD1197</t>
  </si>
  <si>
    <t>07-05-2025</t>
  </si>
  <si>
    <t>Arjun Verma</t>
  </si>
  <si>
    <t>ORD1198</t>
  </si>
  <si>
    <t>26-11-2025</t>
  </si>
  <si>
    <t>Yash Joshi</t>
  </si>
  <si>
    <t>ORD1199</t>
  </si>
  <si>
    <t>11-08-2025</t>
  </si>
  <si>
    <t>Diya Nair</t>
  </si>
  <si>
    <t>ORD1200</t>
  </si>
  <si>
    <t>2025/10/20</t>
  </si>
  <si>
    <t>Kabir Malhotra</t>
  </si>
  <si>
    <t>ORD1201</t>
  </si>
  <si>
    <t>2025/08/18</t>
  </si>
  <si>
    <t>ORD1202</t>
  </si>
  <si>
    <t>2026/03/30</t>
  </si>
  <si>
    <t>Anaya Joshi</t>
  </si>
  <si>
    <t>ORD1203</t>
  </si>
  <si>
    <t>2025/09/28</t>
  </si>
  <si>
    <t>ORD1204</t>
  </si>
  <si>
    <t>2025/08/14</t>
  </si>
  <si>
    <t>Sara Das</t>
  </si>
  <si>
    <t>ORD1205</t>
  </si>
  <si>
    <t>2025/09/04</t>
  </si>
  <si>
    <t>ORD1206</t>
  </si>
  <si>
    <t>2025/07/17</t>
  </si>
  <si>
    <t>ORD1207</t>
  </si>
  <si>
    <t>15-03-2025</t>
  </si>
  <si>
    <t>Ishita Sharma</t>
  </si>
  <si>
    <t>ORD1208</t>
  </si>
  <si>
    <t>06-03-2025</t>
  </si>
  <si>
    <t>ORD1209</t>
  </si>
  <si>
    <t xml:space="preserve">  Ishita Menon  </t>
  </si>
  <si>
    <t>ORD1210</t>
  </si>
  <si>
    <t>2025/12/19</t>
  </si>
  <si>
    <t>Diya Gupta</t>
  </si>
  <si>
    <t>ORD1211</t>
  </si>
  <si>
    <t>14-05-2026</t>
  </si>
  <si>
    <t>Rohan Kapoor</t>
  </si>
  <si>
    <t>ORD1212</t>
  </si>
  <si>
    <t>2025/09/10</t>
  </si>
  <si>
    <t>Anaya Chatterjee</t>
  </si>
  <si>
    <t>ORD1213</t>
  </si>
  <si>
    <t>21-07-2025</t>
  </si>
  <si>
    <t xml:space="preserve">  Priya Chatterjee  </t>
  </si>
  <si>
    <t>ORD1214</t>
  </si>
  <si>
    <t>2026/02/06</t>
  </si>
  <si>
    <t>ORD1215</t>
  </si>
  <si>
    <t>2025/05/30</t>
  </si>
  <si>
    <t>ORD1216</t>
  </si>
  <si>
    <t>2025/10/08</t>
  </si>
  <si>
    <t>Priya Rao</t>
  </si>
  <si>
    <t>ORD1217</t>
  </si>
  <si>
    <t>27-03-2026</t>
  </si>
  <si>
    <t>Sara Nair</t>
  </si>
  <si>
    <t>ORD1218</t>
  </si>
  <si>
    <t>23-01-2025</t>
  </si>
  <si>
    <t>Anaya Sharma</t>
  </si>
  <si>
    <t>ORD1219</t>
  </si>
  <si>
    <t>2025/08/10</t>
  </si>
  <si>
    <t>Arjun Rao</t>
  </si>
  <si>
    <t>ORD1220</t>
  </si>
  <si>
    <t>17-01-2025</t>
  </si>
  <si>
    <t>Diya Das</t>
  </si>
  <si>
    <t>ORD1221</t>
  </si>
  <si>
    <t>2026/03/18</t>
  </si>
  <si>
    <t>Yash Gupta</t>
  </si>
  <si>
    <t>ORD1222</t>
  </si>
  <si>
    <t>2025/03/27</t>
  </si>
  <si>
    <t>ORD1223</t>
  </si>
  <si>
    <t>2026/03/10</t>
  </si>
  <si>
    <t>ORD1224</t>
  </si>
  <si>
    <t>2025/05/02</t>
  </si>
  <si>
    <t>ORD1225</t>
  </si>
  <si>
    <t>ORD1226</t>
  </si>
  <si>
    <t>2025/02/04</t>
  </si>
  <si>
    <t>ORD1227</t>
  </si>
  <si>
    <t>ORD1228</t>
  </si>
  <si>
    <t>2025/09/21</t>
  </si>
  <si>
    <t>Kiran Bose</t>
  </si>
  <si>
    <t>ORD1229</t>
  </si>
  <si>
    <t>24-08-2025</t>
  </si>
  <si>
    <t>ORD1230</t>
  </si>
  <si>
    <t>Dev Chatterjee</t>
  </si>
  <si>
    <t>ORD1231</t>
  </si>
  <si>
    <t>2025/11/19</t>
  </si>
  <si>
    <t>Dev Joshi</t>
  </si>
  <si>
    <t>ORD1232</t>
  </si>
  <si>
    <t>14-04-2026</t>
  </si>
  <si>
    <t>Riya Chatterjee</t>
  </si>
  <si>
    <t>ORD1233</t>
  </si>
  <si>
    <t>2026/03/06</t>
  </si>
  <si>
    <t>Aarav Kapoor</t>
  </si>
  <si>
    <t>ORD1234</t>
  </si>
  <si>
    <t>2026/05/27</t>
  </si>
  <si>
    <t>Ishita Joshi</t>
  </si>
  <si>
    <t>ORD1235</t>
  </si>
  <si>
    <t>CLEANED DATA — powers every Pivot Table, KPI and chart in this workbook</t>
  </si>
  <si>
    <t>Revenue</t>
  </si>
  <si>
    <t>CostTotal</t>
  </si>
  <si>
    <t>Profit</t>
  </si>
  <si>
    <t>OrderMonth</t>
  </si>
  <si>
    <t>IsFirstCustomer</t>
  </si>
  <si>
    <t>IsFirstCustomerInRegion</t>
  </si>
  <si>
    <t>2025-01</t>
  </si>
  <si>
    <t>Riya Pillai</t>
  </si>
  <si>
    <t>Unknown Customer</t>
  </si>
  <si>
    <t>2025-02</t>
  </si>
  <si>
    <t>Dev Nair</t>
  </si>
  <si>
    <t>2025-03</t>
  </si>
  <si>
    <t>2025-04</t>
  </si>
  <si>
    <t>2025-05</t>
  </si>
  <si>
    <t>2025-06</t>
  </si>
  <si>
    <t>Aarav Malhotra</t>
  </si>
  <si>
    <t>2025-07</t>
  </si>
  <si>
    <t>Zoya Chatterjee</t>
  </si>
  <si>
    <t>Kabir Chatterjee</t>
  </si>
  <si>
    <t>2025-08</t>
  </si>
  <si>
    <t>2025-09</t>
  </si>
  <si>
    <t>2025-10</t>
  </si>
  <si>
    <t>2025-11</t>
  </si>
  <si>
    <t>2025-12</t>
  </si>
  <si>
    <t>Anaya Pillai</t>
  </si>
  <si>
    <t>2026-01</t>
  </si>
  <si>
    <t>2026-02</t>
  </si>
  <si>
    <t>2026-03</t>
  </si>
  <si>
    <t>Kiran Chatterjee</t>
  </si>
  <si>
    <t>2026-04</t>
  </si>
  <si>
    <t>2026-05</t>
  </si>
  <si>
    <t>Sara Malhotra</t>
  </si>
  <si>
    <t>2026-06</t>
  </si>
  <si>
    <t>PIVOT TABLES — formula-driven summaries built on T_Sales</t>
  </si>
  <si>
    <t>These tables use SUMIFS / COUNTIFS / AVERAGEIFS against the T_Sales table. Because they reference whole table columns, every value recalculates the instant new rows are added to Cleaned_Data.</t>
  </si>
  <si>
    <t>Monthly Trend</t>
  </si>
  <si>
    <t>Category Summary</t>
  </si>
  <si>
    <t>Region Summary</t>
  </si>
  <si>
    <t>Month</t>
  </si>
  <si>
    <t>Orders</t>
  </si>
  <si>
    <t>Avg Order Value</t>
  </si>
  <si>
    <t>Customers</t>
  </si>
  <si>
    <t>All Products (helper — feeds Top 10 chart)</t>
  </si>
  <si>
    <t>Top 10 Products by Revenue</t>
  </si>
  <si>
    <t>All Customers (helper)</t>
  </si>
  <si>
    <t>Top 10 Customers by Revenue</t>
  </si>
  <si>
    <t>Payment Method Summary</t>
  </si>
  <si>
    <t>Rank</t>
  </si>
  <si>
    <t>Customer</t>
  </si>
  <si>
    <t>Payment Method</t>
  </si>
  <si>
    <t>Category x Region Revenue Matrix (heatmap source)</t>
  </si>
  <si>
    <t>L</t>
  </si>
  <si>
    <t>LUXE COSMETICS — Executive Sales Dashboard</t>
  </si>
  <si>
    <t>Report Date</t>
  </si>
  <si>
    <t>Premium Beauty &amp; Wellness Retail Performance  |  FY 2025 – FY 2026</t>
  </si>
  <si>
    <t>Last Refresh</t>
  </si>
  <si>
    <t>🔎 Filter by Region</t>
  </si>
  <si>
    <t>💰  Total Revenue (₹)</t>
  </si>
  <si>
    <t>🛍️  Total Orders</t>
  </si>
  <si>
    <t>👥  Total Customers</t>
  </si>
  <si>
    <t>🧾  Avg Order Value (₹)</t>
  </si>
  <si>
    <t>Per completed order</t>
  </si>
  <si>
    <t>📈  Total Profit (₹)</t>
  </si>
  <si>
    <t>📊  Growth % (MoM)</t>
  </si>
  <si>
    <t>🏆  Best Category</t>
  </si>
  <si>
    <t>🎯  Filtered Revenue Share</t>
  </si>
  <si>
    <t>📈  Monthly Revenue &amp; Profit Trend</t>
  </si>
  <si>
    <t>🍩  Revenue Share by Region</t>
  </si>
  <si>
    <t>🛍️  Revenue by Category</t>
  </si>
  <si>
    <t>🏆  Top 10 Products by Revenue</t>
  </si>
  <si>
    <t>🌡️  Category × Region Revenue Heatmap</t>
  </si>
  <si>
    <t>⭐  Top 10 Customers by Revenue</t>
  </si>
  <si>
    <t>Revenue (₹)</t>
  </si>
  <si>
    <t>💳  Revenue by Payment Method</t>
  </si>
  <si>
    <t>📝  Key Takeaways</t>
  </si>
  <si>
    <t>LUXE COSMETICS DASHBOARD — DOCUMENTATION</t>
  </si>
  <si>
    <t>1. Dashboard Overview</t>
  </si>
  <si>
    <t>This workbook is a self-contained, formula-driven executive dashboard for a cosmetics &amp; beauty retailer. It follows a five-tab structure: Raw_Data (source, as captured) → Cleaned_Data (validated Excel Table T_Sales) → Pivot_Tables (SUMIFS/COUNTIFS/INDEX-MATCH summaries) → Dashboard (visual layer) → Documentation.</t>
  </si>
  <si>
    <t>2. KPI Definitions</t>
  </si>
  <si>
    <t>•  Total Revenue — Sum of Revenue across all orders (Units x UnitPrice x (1 - Discount)), filtered by the Region selector on the Dashboard.</t>
  </si>
  <si>
    <t>•  Total Orders — Count of orders matching the current Region filter.</t>
  </si>
  <si>
    <t>•  Total Customers — Distinct count of customers overall, using the IsFirstCustomer helper column.</t>
  </si>
  <si>
    <t>•  Avg Order Value (AOV) — Filtered Revenue / Filtered Orders.</t>
  </si>
  <si>
    <t>•  Total Profit — Sum of Profit (Revenue - Units x UnitCost), filtered by Region, with gross margin % shown beneath.</t>
  </si>
  <si>
    <t>•  Growth % (MoM) — Percentage change between the two most recent months in the Monthly Trend pivot table.</t>
  </si>
  <si>
    <t>•  Best Performing Category — Category with the highest total revenue (INDEX/MATCH against the Category Summary pivot).</t>
  </si>
  <si>
    <t>•  Filtered Revenue Share — Revenue for the selected region as a % of company-wide revenue; shows 100% when 'All' is selected.</t>
  </si>
  <si>
    <t>3. Data Cleaning Steps (Raw_Data → Cleaned_Data)</t>
  </si>
  <si>
    <t>•  Trimmed stray whitespace and standardized text casing in CustomerName, Region and Category (Title Case).</t>
  </si>
  <si>
    <t>•  Normalized two inconsistent date formats (DD-MM-YYYY and YYYY/MM/DD) into a single date type.</t>
  </si>
  <si>
    <t>•  Replaced blank CustomerName values with 'Unknown Customer' rather than dropping the order.</t>
  </si>
  <si>
    <t>•  Removed rows with invalid core fields: missing/negative Units, missing/zero UnitPrice, missing OrderDate.</t>
  </si>
  <si>
    <t>•  Removed exact duplicate orders, keeping the first occurrence of each OrderID.</t>
  </si>
  <si>
    <t>•  Recomputed Revenue, CostTotal and Profit from cleaned Units/UnitPrice/Discount/UnitCost so derived figures are always internally consistent.</t>
  </si>
  <si>
    <t>•  Added an OrderMonth key (YYYY-MM) to support the Monthly Trend pivot and chart.</t>
  </si>
  <si>
    <t>4. Refresh Instructions</t>
  </si>
  <si>
    <t>•  To add new orders: append new rows directly beneath the last row of the T_Sales table on Cleaned_Data (or any row inside the table) — the table auto-expands and every SUMIFS/COUNTIFS formula on Pivot_Tables recalculates automatically.</t>
  </si>
  <si>
    <t>•  All Pivot_Tables formulas reference the T_Sales table by column name (e.g. T_Sales[Revenue]), so column order can change without breaking formulas.</t>
  </si>
  <si>
    <t>•  After adding data, press Ctrl+Alt+F9 (or Formulas &gt; Calculate Now) to force a full recalculation if Excel is set to manual calculation.</t>
  </si>
  <si>
    <t>•  The Region filter cell (Dashboard C7) is a data-validation dropdown — changing it live-updates the KPI row without any macro or VBA.</t>
  </si>
  <si>
    <t>5. Formula Notes</t>
  </si>
  <si>
    <t>•  Dimension lists (months, categories, regions, products, customers, payment methods) are generated once from the dataset at build time and listed as row labels; the VALUES beside each label are live formulas (SUMIFS/COUNTIFS) that always reflect current data.</t>
  </si>
  <si>
    <t>•  Top 10 Products and Top 10 Customers use LARGE() to rank revenue and INDEX/MATCH to pull back the matching label — a robust, non-volatile alternative to array spill functions.</t>
  </si>
  <si>
    <t>•  Distinct customer counts use helper columns (IsFirstCustomer, IsFirstCustomerInRegion) on Cleaned_Data rather than array/SUMPRODUCT division, avoiding divide-by-zero risk.</t>
  </si>
  <si>
    <t>•  No volatile functions (OFFSET, INDIRECT, NOW/TODAY excluded) are used in calculation-heavy areas, keeping the workbook fast even as data grows.</t>
  </si>
  <si>
    <t>•  Native Excel PivotTables/PivotCharts and Slicers were intentionally replaced with formula-driven pivot-style tables plus a data-validation filter cell, since these are far more portable across Excel versions and re-calculate identically in Excel, Google Sheets or LibreOffice. Users who prefer true native PivotTables/Slicers can select any range on Pivot_Tables and Insert &gt; PivotTable / Insert &gt; Slicer to add them.</t>
  </si>
  <si>
    <t>•  Treemap, Waterfall, Funnel, Filled Map and native Sparklines are Excel-version-dependent chart types not reliably supported by every Excel build; the workbook instead uses a color-scale heatmap (Category x Region matrix) and data-bar conditional formatting (Top Customers) to convey the same insights. Add native versions via Insert &gt; Charts if your Excel version supports them.</t>
  </si>
  <si>
    <t>6. Workbook Structure</t>
  </si>
  <si>
    <t>•  Raw_Data — source data exactly as captured, kept for audit/traceability.</t>
  </si>
  <si>
    <t>•  Cleaned_Data — validated Excel Table 'T_Sales', the single source of truth for the whole workbook.</t>
  </si>
  <si>
    <t>•  Pivot_Tables — formula-driven summary blocks powering every KPI, chart and table on the Dashboard.</t>
  </si>
  <si>
    <t>•  Dashboard — the executive-facing visual layer: header, KPI cards, filter, charts, heatmap, leaderboard, takeaways.</t>
  </si>
  <si>
    <t>•  Documentation — this sheet.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</si>
</sst>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%;[Red]\-0.0%"/>
    <numFmt numFmtId="181" formatCode="dddd&quot;, &quot;dd\ mmmm\ yyyy"/>
    <numFmt numFmtId="182" formatCode="hh:mm\ AM/PM"/>
    <numFmt numFmtId="183" formatCode="0.0%"/>
    <numFmt numFmtId="184" formatCode="dd/mmm/yyyy"/>
  </numFmts>
  <fonts count="44">
    <font>
      <sz val="11"/>
      <color theme="1"/>
      <name val="Calibri"/>
      <charset val="1"/>
    </font>
    <font>
      <b/>
      <sz val="16"/>
      <color rgb="FFFF5C8A"/>
      <name val="Aptos"/>
      <charset val="1"/>
    </font>
    <font>
      <b/>
      <sz val="12.5"/>
      <color rgb="FF3B2C35"/>
      <name val="Aptos"/>
      <charset val="1"/>
    </font>
    <font>
      <sz val="10.5"/>
      <color rgb="FF3B2C35"/>
      <name val="Aptos"/>
      <charset val="1"/>
    </font>
    <font>
      <b/>
      <sz val="28"/>
      <color rgb="FFFF5C8A"/>
      <name val="Aptos"/>
      <charset val="1"/>
    </font>
    <font>
      <b/>
      <sz val="22"/>
      <color rgb="FF3B2C35"/>
      <name val="Aptos"/>
      <charset val="1"/>
    </font>
    <font>
      <i/>
      <sz val="11"/>
      <color rgb="FFE89AB4"/>
      <name val="Aptos"/>
      <charset val="1"/>
    </font>
    <font>
      <i/>
      <sz val="7"/>
      <color rgb="FF8C6B7A"/>
      <name val="Aptos"/>
      <charset val="1"/>
    </font>
    <font>
      <b/>
      <sz val="10"/>
      <color rgb="FF3B2C35"/>
      <name val="Aptos"/>
      <charset val="1"/>
    </font>
    <font>
      <b/>
      <sz val="10"/>
      <color rgb="FFFFFFFF"/>
      <name val="Aptos"/>
      <charset val="1"/>
    </font>
    <font>
      <i/>
      <sz val="8.5"/>
      <color rgb="FF8C6B7A"/>
      <name val="Aptos"/>
      <charset val="1"/>
    </font>
    <font>
      <b/>
      <sz val="10.5"/>
      <color rgb="FF8C6B7A"/>
      <name val="Aptos"/>
      <charset val="1"/>
    </font>
    <font>
      <b/>
      <sz val="20"/>
      <color rgb="FF3B2C35"/>
      <name val="Aptos"/>
      <charset val="1"/>
    </font>
    <font>
      <b/>
      <sz val="9.5"/>
      <color rgb="FF3FA796"/>
      <name val="Aptos"/>
      <charset val="1"/>
    </font>
    <font>
      <b/>
      <sz val="11"/>
      <color rgb="FFFFFFFF"/>
      <name val="Aptos"/>
      <charset val="1"/>
    </font>
    <font>
      <b/>
      <sz val="9.5"/>
      <color rgb="FF3B2C35"/>
      <name val="Aptos"/>
      <charset val="1"/>
    </font>
    <font>
      <sz val="8"/>
      <color rgb="FF8C6B7A"/>
      <name val="Aptos"/>
      <charset val="1"/>
    </font>
    <font>
      <b/>
      <sz val="11"/>
      <color rgb="FF3B2C35"/>
      <name val="Aptos"/>
      <charset val="1"/>
    </font>
    <font>
      <b/>
      <sz val="11"/>
      <color rgb="FFFF5C8A"/>
      <name val="Aptos"/>
      <charset val="1"/>
    </font>
    <font>
      <i/>
      <sz val="8"/>
      <color rgb="FF8C6B7A"/>
      <name val="Aptos"/>
      <charset val="1"/>
    </font>
    <font>
      <b/>
      <sz val="13"/>
      <color rgb="FF3B2C35"/>
      <name val="Aptos"/>
      <charset val="1"/>
    </font>
    <font>
      <i/>
      <sz val="9"/>
      <color rgb="FF8C6B7A"/>
      <name val="Aptos"/>
      <charset val="1"/>
    </font>
    <font>
      <b/>
      <sz val="14"/>
      <color rgb="FF3B2C35"/>
      <name val="Aptos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DECEF"/>
        <bgColor rgb="FFFFF5F8"/>
      </patternFill>
    </fill>
    <fill>
      <patternFill patternType="solid">
        <fgColor rgb="FFFFF5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5C8A"/>
        <bgColor rgb="FFFF6600"/>
      </patternFill>
    </fill>
    <fill>
      <patternFill patternType="solid">
        <fgColor rgb="FF3B2C35"/>
        <bgColor rgb="FF333300"/>
      </patternFill>
    </fill>
    <fill>
      <patternFill patternType="solid">
        <fgColor rgb="FFFFF5F8"/>
        <bgColor indexed="64"/>
      </patternFill>
    </fill>
    <fill>
      <patternFill patternType="solid">
        <fgColor rgb="FFE89AB4"/>
        <bgColor rgb="FFCC99FF"/>
      </patternFill>
    </fill>
    <fill>
      <patternFill patternType="solid">
        <fgColor rgb="FF8C6B7A"/>
        <bgColor rgb="FF87878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EAC9D4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FF5C8A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E89AB4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3FA796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ck">
        <color rgb="FFD9C6F2"/>
      </left>
      <right style="thin">
        <color rgb="FFEAC9D4"/>
      </right>
      <top style="thin">
        <color rgb="FFEAC9D4"/>
      </top>
      <bottom style="thin">
        <color rgb="FFEAC9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Border="0" applyAlignment="0" applyProtection="0"/>
    <xf numFmtId="177" fontId="23" fillId="0" borderId="0" applyBorder="0" applyAlignment="0" applyProtection="0"/>
    <xf numFmtId="9" fontId="23" fillId="0" borderId="0" applyBorder="0" applyAlignment="0" applyProtection="0"/>
    <xf numFmtId="178" fontId="23" fillId="0" borderId="0" applyBorder="0" applyAlignment="0" applyProtection="0"/>
    <xf numFmtId="179" fontId="23" fillId="0" borderId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1" borderId="9" applyNumberFormat="0" applyAlignment="0" applyProtection="0">
      <alignment vertical="center"/>
    </xf>
    <xf numFmtId="0" fontId="34" fillId="12" borderId="10" applyNumberFormat="0" applyAlignment="0" applyProtection="0">
      <alignment vertical="center"/>
    </xf>
    <xf numFmtId="0" fontId="35" fillId="12" borderId="9" applyNumberFormat="0" applyAlignment="0" applyProtection="0">
      <alignment vertical="center"/>
    </xf>
    <xf numFmtId="0" fontId="36" fillId="13" borderId="11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Alignment="1"/>
    <xf numFmtId="0" fontId="1" fillId="0" borderId="0" xfId="0" applyFont="1" applyBorder="1" applyAlignment="1"/>
    <xf numFmtId="0" fontId="2" fillId="2" borderId="0" xfId="0" applyFont="1" applyFill="1" applyAlignment="1"/>
    <xf numFmtId="0" fontId="3" fillId="0" borderId="0" xfId="0" applyFont="1" applyAlignment="1">
      <alignment vertical="top" wrapText="1"/>
    </xf>
    <xf numFmtId="0" fontId="0" fillId="3" borderId="0" xfId="0" applyFill="1" applyAlignment="1"/>
    <xf numFmtId="0" fontId="4" fillId="4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/>
    <xf numFmtId="0" fontId="7" fillId="3" borderId="0" xfId="0" applyFont="1" applyFill="1" applyAlignment="1">
      <alignment horizontal="center"/>
    </xf>
    <xf numFmtId="0" fontId="8" fillId="3" borderId="0" xfId="0" applyFont="1" applyFill="1" applyBorder="1" applyAlignment="1"/>
    <xf numFmtId="0" fontId="9" fillId="5" borderId="0" xfId="0" applyFont="1" applyFill="1" applyBorder="1" applyAlignment="1">
      <alignment horizontal="center"/>
    </xf>
    <xf numFmtId="0" fontId="10" fillId="3" borderId="0" xfId="0" applyFont="1" applyFill="1" applyBorder="1" applyAlignment="1"/>
    <xf numFmtId="0" fontId="0" fillId="4" borderId="2" xfId="0" applyFill="1" applyBorder="1" applyAlignment="1"/>
    <xf numFmtId="0" fontId="0" fillId="4" borderId="1" xfId="0" applyFill="1" applyBorder="1" applyAlignment="1"/>
    <xf numFmtId="0" fontId="0" fillId="4" borderId="3" xfId="0" applyFill="1" applyBorder="1" applyAlignment="1"/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3" fontId="12" fillId="4" borderId="2" xfId="0" applyNumberFormat="1" applyFont="1" applyFill="1" applyBorder="1" applyAlignment="1">
      <alignment horizontal="center" vertical="center"/>
    </xf>
    <xf numFmtId="3" fontId="12" fillId="4" borderId="3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0" fillId="4" borderId="4" xfId="0" applyFill="1" applyBorder="1" applyAlignment="1"/>
    <xf numFmtId="0" fontId="11" fillId="4" borderId="4" xfId="0" applyFont="1" applyFill="1" applyBorder="1" applyAlignment="1">
      <alignment horizontal="center" vertical="center"/>
    </xf>
    <xf numFmtId="3" fontId="12" fillId="4" borderId="4" xfId="0" applyNumberFormat="1" applyFont="1" applyFill="1" applyBorder="1" applyAlignment="1">
      <alignment horizontal="center" vertical="center"/>
    </xf>
    <xf numFmtId="180" fontId="12" fillId="4" borderId="3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/>
    <xf numFmtId="0" fontId="14" fillId="6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/>
    <xf numFmtId="3" fontId="0" fillId="4" borderId="1" xfId="0" applyNumberFormat="1" applyFill="1" applyBorder="1" applyAlignment="1">
      <alignment horizontal="center"/>
    </xf>
    <xf numFmtId="0" fontId="16" fillId="3" borderId="0" xfId="0" applyFont="1" applyFill="1" applyBorder="1" applyAlignment="1">
      <alignment horizontal="right"/>
    </xf>
    <xf numFmtId="181" fontId="17" fillId="3" borderId="0" xfId="0" applyNumberFormat="1" applyFont="1" applyFill="1" applyBorder="1" applyAlignment="1">
      <alignment horizontal="right"/>
    </xf>
    <xf numFmtId="182" fontId="18" fillId="3" borderId="0" xfId="0" applyNumberFormat="1" applyFont="1" applyFill="1" applyBorder="1" applyAlignment="1">
      <alignment horizontal="right"/>
    </xf>
    <xf numFmtId="0" fontId="0" fillId="4" borderId="5" xfId="0" applyFill="1" applyBorder="1" applyAlignment="1"/>
    <xf numFmtId="0" fontId="11" fillId="4" borderId="5" xfId="0" applyFont="1" applyFill="1" applyBorder="1" applyAlignment="1">
      <alignment horizontal="center" vertical="center"/>
    </xf>
    <xf numFmtId="3" fontId="12" fillId="4" borderId="5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9" fontId="12" fillId="4" borderId="5" xfId="0" applyNumberFormat="1" applyFont="1" applyFill="1" applyBorder="1" applyAlignment="1">
      <alignment horizontal="center" vertical="center"/>
    </xf>
    <xf numFmtId="183" fontId="12" fillId="4" borderId="2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/>
    <xf numFmtId="0" fontId="0" fillId="7" borderId="0" xfId="0" applyFill="1"/>
    <xf numFmtId="0" fontId="19" fillId="3" borderId="0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20" fillId="0" borderId="0" xfId="0" applyFont="1" applyAlignment="1"/>
    <xf numFmtId="0" fontId="21" fillId="0" borderId="0" xfId="0" applyFont="1" applyBorder="1" applyAlignment="1"/>
    <xf numFmtId="0" fontId="22" fillId="0" borderId="0" xfId="0" applyFont="1" applyAlignment="1"/>
    <xf numFmtId="0" fontId="14" fillId="8" borderId="1" xfId="0" applyFont="1" applyFill="1" applyBorder="1" applyAlignment="1">
      <alignment horizontal="center" vertical="center"/>
    </xf>
    <xf numFmtId="3" fontId="0" fillId="0" borderId="0" xfId="0" applyNumberFormat="1" applyAlignment="1"/>
    <xf numFmtId="0" fontId="14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0" fillId="0" borderId="0" xfId="0" applyFont="1" applyBorder="1" applyAlignment="1"/>
    <xf numFmtId="184" fontId="0" fillId="0" borderId="0" xfId="0" applyNumberFormat="1" applyAlignment="1"/>
    <xf numFmtId="4" fontId="0" fillId="0" borderId="0" xfId="0" applyNumberFormat="1" applyAlignment="1"/>
    <xf numFmtId="9" fontId="0" fillId="0" borderId="0" xfId="0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78787"/>
      <rgbColor rgb="009999FF"/>
      <rgbColor rgb="00993366"/>
      <rgbColor rgb="00F9F9F9"/>
      <rgbColor rgb="00FFF5F8"/>
      <rgbColor rgb="00660066"/>
      <rgbColor rgb="00FF5C8A"/>
      <rgbColor rgb="000066CC"/>
      <rgbColor rgb="00D9C6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DECEF"/>
      <rgbColor rgb="00CCFFCC"/>
      <rgbColor rgb="00FFFF99"/>
      <rgbColor rgb="0099CCFF"/>
      <rgbColor rgb="00E89AB4"/>
      <rgbColor rgb="00CC99FF"/>
      <rgbColor rgb="00EAC9D4"/>
      <rgbColor rgb="004F81BD"/>
      <rgbColor rgb="0033CCCC"/>
      <rgbColor rgb="0099CC00"/>
      <rgbColor rgb="00FFCC00"/>
      <rgbColor rgb="00FF9900"/>
      <rgbColor rgb="00FF6600"/>
      <rgbColor rgb="008C6B7A"/>
      <rgbColor rgb="00969696"/>
      <rgbColor rgb="00003366"/>
      <rgbColor rgb="003FA796"/>
      <rgbColor rgb="00003300"/>
      <rgbColor rgb="00333300"/>
      <rgbColor rgb="00993300"/>
      <rgbColor rgb="00993366"/>
      <rgbColor rgb="00333399"/>
      <rgbColor rgb="003B2C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5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Pivot_Tables!$C$4</c:f>
              <c:strCache>
                <c:ptCount val="1"/>
                <c:pt idx="0">
                  <c:v>Revenue</c:v>
                </c:pt>
              </c:strCache>
            </c:strRef>
          </c:tx>
          <c:spPr>
            <a:ln w="24120" cap="rnd" cmpd="sng" algn="ctr">
              <a:solidFill>
                <a:srgbClr val="FF5C8A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5C8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Pivot_Tables!$B$5:$B$22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Pivot_Tables!$C$5:$C$22</c:f>
              <c:numCache>
                <c:formatCode>#,##0</c:formatCode>
                <c:ptCount val="18"/>
                <c:pt idx="0">
                  <c:v>95084.49</c:v>
                </c:pt>
                <c:pt idx="1">
                  <c:v>273887.12</c:v>
                </c:pt>
                <c:pt idx="2">
                  <c:v>248023.8</c:v>
                </c:pt>
                <c:pt idx="3">
                  <c:v>298091.61</c:v>
                </c:pt>
                <c:pt idx="4">
                  <c:v>192087.26</c:v>
                </c:pt>
                <c:pt idx="5">
                  <c:v>154384.51</c:v>
                </c:pt>
                <c:pt idx="6">
                  <c:v>218111.91</c:v>
                </c:pt>
                <c:pt idx="7">
                  <c:v>231506.46</c:v>
                </c:pt>
                <c:pt idx="8">
                  <c:v>180394.47</c:v>
                </c:pt>
                <c:pt idx="9">
                  <c:v>169811.29</c:v>
                </c:pt>
                <c:pt idx="10">
                  <c:v>188671.12</c:v>
                </c:pt>
                <c:pt idx="11">
                  <c:v>314391.06</c:v>
                </c:pt>
                <c:pt idx="12">
                  <c:v>227202.82</c:v>
                </c:pt>
                <c:pt idx="13">
                  <c:v>191611.88</c:v>
                </c:pt>
                <c:pt idx="14">
                  <c:v>145076.08</c:v>
                </c:pt>
                <c:pt idx="15">
                  <c:v>196806.07</c:v>
                </c:pt>
                <c:pt idx="16">
                  <c:v>312955.36</c:v>
                </c:pt>
                <c:pt idx="17">
                  <c:v>245361.38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Pivot_Tables!$E$4</c:f>
              <c:strCache>
                <c:ptCount val="1"/>
                <c:pt idx="0">
                  <c:v>Profit</c:v>
                </c:pt>
              </c:strCache>
            </c:strRef>
          </c:tx>
          <c:spPr>
            <a:ln w="24120" cap="rnd" cmpd="sng" algn="ctr">
              <a:solidFill>
                <a:srgbClr val="D9C6F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D9C6F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Pivot_Tables!$B$5:$B$22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Pivot_Tables!$E$5:$E$22</c:f>
              <c:numCache>
                <c:formatCode>#,##0</c:formatCode>
                <c:ptCount val="18"/>
                <c:pt idx="0">
                  <c:v>39087.93</c:v>
                </c:pt>
                <c:pt idx="1">
                  <c:v>117626.73</c:v>
                </c:pt>
                <c:pt idx="2">
                  <c:v>120639.4</c:v>
                </c:pt>
                <c:pt idx="3">
                  <c:v>127442.26</c:v>
                </c:pt>
                <c:pt idx="4">
                  <c:v>81261.68</c:v>
                </c:pt>
                <c:pt idx="5">
                  <c:v>68238.35</c:v>
                </c:pt>
                <c:pt idx="6">
                  <c:v>100525.92</c:v>
                </c:pt>
                <c:pt idx="7">
                  <c:v>103747.85</c:v>
                </c:pt>
                <c:pt idx="8">
                  <c:v>82199.19</c:v>
                </c:pt>
                <c:pt idx="9">
                  <c:v>75823.95</c:v>
                </c:pt>
                <c:pt idx="10">
                  <c:v>83315.84</c:v>
                </c:pt>
                <c:pt idx="11">
                  <c:v>141984.5</c:v>
                </c:pt>
                <c:pt idx="12">
                  <c:v>100465.32</c:v>
                </c:pt>
                <c:pt idx="13">
                  <c:v>77426.19</c:v>
                </c:pt>
                <c:pt idx="14">
                  <c:v>62531.26</c:v>
                </c:pt>
                <c:pt idx="15">
                  <c:v>85453.17</c:v>
                </c:pt>
                <c:pt idx="16">
                  <c:v>127748.47</c:v>
                </c:pt>
                <c:pt idx="17">
                  <c:v>108942.79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28006414"/>
        <c:axId val="51365029"/>
      </c:lineChart>
      <c:catAx>
        <c:axId val="280064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1365029"/>
        <c:crosses val="autoZero"/>
        <c:auto val="1"/>
        <c:lblAlgn val="ctr"/>
        <c:lblOffset val="100"/>
        <c:noMultiLvlLbl val="0"/>
      </c:catAx>
      <c:valAx>
        <c:axId val="5136502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₹ Revenue / Profit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80064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GB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245538-0616-4e56-b84d-80b93aca476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Pivot_Tables!$N$4</c:f>
              <c:strCache>
                <c:ptCount val="1"/>
                <c:pt idx="0">
                  <c:v>Revenue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#,##0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GB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#,##0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Pivot_Tables!$M$5:$M$9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Pivot_Tables!$N$5:$N$9</c:f>
              <c:numCache>
                <c:formatCode>#,##0</c:formatCode>
                <c:ptCount val="5"/>
                <c:pt idx="0">
                  <c:v>608907.82</c:v>
                </c:pt>
                <c:pt idx="1">
                  <c:v>944694.54</c:v>
                </c:pt>
                <c:pt idx="2">
                  <c:v>767341.78</c:v>
                </c:pt>
                <c:pt idx="3">
                  <c:v>790727.89</c:v>
                </c:pt>
                <c:pt idx="4">
                  <c:v>771786.66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cf51c7-41a1-43a0-97da-f2a8d5c2a55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5C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Pivot_Tables!$G$5:$G$9</c:f>
              <c:strCache>
                <c:ptCount val="5"/>
                <c:pt idx="0">
                  <c:v>Accessories</c:v>
                </c:pt>
                <c:pt idx="1">
                  <c:v>Fragrance</c:v>
                </c:pt>
                <c:pt idx="2">
                  <c:v>Haircare</c:v>
                </c:pt>
                <c:pt idx="3">
                  <c:v>Makeup</c:v>
                </c:pt>
                <c:pt idx="4">
                  <c:v>Skincare</c:v>
                </c:pt>
              </c:strCache>
            </c:strRef>
          </c:cat>
          <c:val>
            <c:numRef>
              <c:f>Pivot_Tables!$H$5:$H$9</c:f>
              <c:numCache>
                <c:formatCode>#,##0</c:formatCode>
                <c:ptCount val="5"/>
                <c:pt idx="0">
                  <c:v>718115.54</c:v>
                </c:pt>
                <c:pt idx="1">
                  <c:v>851725.71</c:v>
                </c:pt>
                <c:pt idx="2">
                  <c:v>935203.87</c:v>
                </c:pt>
                <c:pt idx="3">
                  <c:v>581013.14</c:v>
                </c:pt>
                <c:pt idx="4">
                  <c:v>797400.43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60"/>
        <c:overlap val="0"/>
        <c:axId val="56417589"/>
        <c:axId val="11413246"/>
      </c:barChart>
      <c:catAx>
        <c:axId val="564175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1413246"/>
        <c:crosses val="autoZero"/>
        <c:auto val="1"/>
        <c:lblAlgn val="ctr"/>
        <c:lblOffset val="100"/>
        <c:noMultiLvlLbl val="0"/>
      </c:catAx>
      <c:valAx>
        <c:axId val="1141324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₹ Revenue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6417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270292d-55e8-43c9-b785-af1463acf4c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Pivot_Tables!$I$24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89A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Pivot_Tables!$H$25:$H$34</c:f>
              <c:strCache>
                <c:ptCount val="10"/>
                <c:pt idx="0">
                  <c:v>Amber Oud</c:v>
                </c:pt>
                <c:pt idx="1">
                  <c:v>Argan Shampoo</c:v>
                </c:pt>
                <c:pt idx="2">
                  <c:v>Silk Moisturizer</c:v>
                </c:pt>
                <c:pt idx="3">
                  <c:v>Curl Cream</c:v>
                </c:pt>
                <c:pt idx="4">
                  <c:v>Glow Serum</c:v>
                </c:pt>
                <c:pt idx="5">
                  <c:v>Jewel Comb</c:v>
                </c:pt>
                <c:pt idx="6">
                  <c:v>Shimmer Palette</c:v>
                </c:pt>
                <c:pt idx="7">
                  <c:v>Rose Gold Mirror</c:v>
                </c:pt>
                <c:pt idx="8">
                  <c:v>Citrus Cologne</c:v>
                </c:pt>
                <c:pt idx="9">
                  <c:v>Repair Oil</c:v>
                </c:pt>
              </c:strCache>
            </c:strRef>
          </c:cat>
          <c:val>
            <c:numRef>
              <c:f>Pivot_Tables!$I$25:$I$34</c:f>
              <c:numCache>
                <c:formatCode>#,##0</c:formatCode>
                <c:ptCount val="10"/>
                <c:pt idx="0">
                  <c:v>441862.08</c:v>
                </c:pt>
                <c:pt idx="1">
                  <c:v>367938.05</c:v>
                </c:pt>
                <c:pt idx="2">
                  <c:v>218015.62</c:v>
                </c:pt>
                <c:pt idx="3">
                  <c:v>216119.18</c:v>
                </c:pt>
                <c:pt idx="4">
                  <c:v>212115.09</c:v>
                </c:pt>
                <c:pt idx="5">
                  <c:v>184323.15</c:v>
                </c:pt>
                <c:pt idx="6">
                  <c:v>168909.36</c:v>
                </c:pt>
                <c:pt idx="7">
                  <c:v>167530.86</c:v>
                </c:pt>
                <c:pt idx="8">
                  <c:v>157606.96</c:v>
                </c:pt>
                <c:pt idx="9">
                  <c:v>154805.63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40"/>
        <c:overlap val="0"/>
        <c:axId val="55548568"/>
        <c:axId val="54245651"/>
      </c:barChart>
      <c:catAx>
        <c:axId val="5554856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4245651"/>
        <c:crosses val="autoZero"/>
        <c:auto val="1"/>
        <c:lblAlgn val="ctr"/>
        <c:lblOffset val="100"/>
        <c:noMultiLvlLbl val="0"/>
      </c:catAx>
      <c:valAx>
        <c:axId val="54245651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55485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3f2aa13-47ad-443a-a932-258e2d025f5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Pivot_Tables!$W$24</c:f>
              <c:strCache>
                <c:ptCount val="1"/>
                <c:pt idx="0">
                  <c:v>Revenue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  <a:lumOff val="40000"/>
                  </a:schemeClr>
                </a:gs>
                <a:gs pos="0">
                  <a:schemeClr val="accent2">
                    <a:lumMod val="20000"/>
                    <a:lumOff val="80000"/>
                  </a:schemeClr>
                </a:gs>
                <a:gs pos="98000">
                  <a:schemeClr val="accent2">
                    <a:lumMod val="75000"/>
                  </a:schemeClr>
                </a:gs>
                <a:gs pos="50000">
                  <a:schemeClr val="accent2">
                    <a:lumMod val="60000"/>
                    <a:lumOff val="40000"/>
                  </a:schemeClr>
                </a:gs>
                <a:gs pos="10000">
                  <a:schemeClr val="accent2">
                    <a:lumMod val="40000"/>
                    <a:lumOff val="60000"/>
                  </a:schemeClr>
                </a:gs>
              </a:gsLst>
              <a:lin ang="1800000" scaled="0"/>
            </a:gra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2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Pivot_Tables!$V$25:$V$30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  <c:pt idx="5">
                  <c:v>Wallet</c:v>
                </c:pt>
              </c:strCache>
            </c:strRef>
          </c:cat>
          <c:val>
            <c:numRef>
              <c:f>Pivot_Tables!$W$25:$W$30</c:f>
              <c:numCache>
                <c:formatCode>#,##0</c:formatCode>
                <c:ptCount val="6"/>
                <c:pt idx="0">
                  <c:v>644347.51</c:v>
                </c:pt>
                <c:pt idx="1">
                  <c:v>573980.14</c:v>
                </c:pt>
                <c:pt idx="2">
                  <c:v>596256.25</c:v>
                </c:pt>
                <c:pt idx="3">
                  <c:v>689024.72</c:v>
                </c:pt>
                <c:pt idx="4">
                  <c:v>697962.89</c:v>
                </c:pt>
                <c:pt idx="5">
                  <c:v>681887.18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40"/>
        <c:overlap val="0"/>
        <c:axId val="47081616"/>
        <c:axId val="83108615"/>
      </c:barChart>
      <c:catAx>
        <c:axId val="4708161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3108615"/>
        <c:crosses val="autoZero"/>
        <c:auto val="1"/>
        <c:lblAlgn val="ctr"/>
        <c:lblOffset val="100"/>
        <c:noMultiLvlLbl val="0"/>
      </c:catAx>
      <c:valAx>
        <c:axId val="8310861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7081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78af646-ab34-4c6a-90b2-904ccc8dcc1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11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43180</xdr:colOff>
      <xdr:row>21</xdr:row>
      <xdr:rowOff>120015</xdr:rowOff>
    </xdr:from>
    <xdr:to>
      <xdr:col>9</xdr:col>
      <xdr:colOff>384175</xdr:colOff>
      <xdr:row>35</xdr:row>
      <xdr:rowOff>46990</xdr:rowOff>
    </xdr:to>
    <xdr:graphicFrame>
      <xdr:nvGraphicFramePr>
        <xdr:cNvPr id="2" name="Chart 1"/>
        <xdr:cNvGraphicFramePr/>
      </xdr:nvGraphicFramePr>
      <xdr:xfrm>
        <a:off x="43180" y="3729990"/>
        <a:ext cx="6376035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605790</xdr:colOff>
      <xdr:row>21</xdr:row>
      <xdr:rowOff>62865</xdr:rowOff>
    </xdr:from>
    <xdr:to>
      <xdr:col>16</xdr:col>
      <xdr:colOff>289560</xdr:colOff>
      <xdr:row>36</xdr:row>
      <xdr:rowOff>166370</xdr:rowOff>
    </xdr:to>
    <xdr:graphicFrame>
      <xdr:nvGraphicFramePr>
        <xdr:cNvPr id="3" name="Chart 2"/>
        <xdr:cNvGraphicFramePr/>
      </xdr:nvGraphicFramePr>
      <xdr:xfrm>
        <a:off x="6640830" y="3672840"/>
        <a:ext cx="4377690" cy="2961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6350</xdr:colOff>
      <xdr:row>39</xdr:row>
      <xdr:rowOff>111760</xdr:rowOff>
    </xdr:from>
    <xdr:to>
      <xdr:col>6</xdr:col>
      <xdr:colOff>248920</xdr:colOff>
      <xdr:row>52</xdr:row>
      <xdr:rowOff>96520</xdr:rowOff>
    </xdr:to>
    <xdr:graphicFrame>
      <xdr:nvGraphicFramePr>
        <xdr:cNvPr id="4" name="Chart 3"/>
        <xdr:cNvGraphicFramePr/>
      </xdr:nvGraphicFramePr>
      <xdr:xfrm>
        <a:off x="6350" y="7150735"/>
        <a:ext cx="4265930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639445</xdr:colOff>
      <xdr:row>38</xdr:row>
      <xdr:rowOff>112395</xdr:rowOff>
    </xdr:from>
    <xdr:to>
      <xdr:col>17</xdr:col>
      <xdr:colOff>247015</xdr:colOff>
      <xdr:row>51</xdr:row>
      <xdr:rowOff>146050</xdr:rowOff>
    </xdr:to>
    <xdr:graphicFrame>
      <xdr:nvGraphicFramePr>
        <xdr:cNvPr id="5" name="Chart 4"/>
        <xdr:cNvGraphicFramePr/>
      </xdr:nvGraphicFramePr>
      <xdr:xfrm>
        <a:off x="5333365" y="6960870"/>
        <a:ext cx="6249035" cy="2510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6350</xdr:colOff>
      <xdr:row>69</xdr:row>
      <xdr:rowOff>0</xdr:rowOff>
    </xdr:from>
    <xdr:to>
      <xdr:col>7</xdr:col>
      <xdr:colOff>193675</xdr:colOff>
      <xdr:row>79</xdr:row>
      <xdr:rowOff>186690</xdr:rowOff>
    </xdr:to>
    <xdr:graphicFrame>
      <xdr:nvGraphicFramePr>
        <xdr:cNvPr id="6" name="Chart 5"/>
        <xdr:cNvGraphicFramePr/>
      </xdr:nvGraphicFramePr>
      <xdr:xfrm>
        <a:off x="6350" y="12753975"/>
        <a:ext cx="4881245" cy="2091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_Tbl" displayName="Raw_Tbl" ref="A3:L252" totalsRowShown="0">
  <autoFilter xmlns:etc="http://www.wps.cn/officeDocument/2017/etCustomData" ref="A3:L252" etc:filterBottomFollowUsedRange="0"/>
  <tableColumns count="12">
    <tableColumn id="1" name="OrderID"/>
    <tableColumn id="2" name="OrderDate"/>
    <tableColumn id="3" name="CustomerName"/>
    <tableColumn id="4" name="Region"/>
    <tableColumn id="5" name="Category"/>
    <tableColumn id="6" name="Product"/>
    <tableColumn id="7" name="Brand"/>
    <tableColumn id="8" name="Units"/>
    <tableColumn id="9" name="UnitPrice"/>
    <tableColumn id="10" name="UnitCost"/>
    <tableColumn id="11" name="Discount"/>
    <tableColumn id="12" name="PaymentMetho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Sales" displayName="T_Sales" ref="A3:R225" totalsRowShown="0">
  <autoFilter xmlns:etc="http://www.wps.cn/officeDocument/2017/etCustomData" ref="A3:R225" etc:filterBottomFollowUsedRange="0"/>
  <tableColumns count="18">
    <tableColumn id="1" name="OrderID"/>
    <tableColumn id="2" name="OrderDate"/>
    <tableColumn id="3" name="CustomerName"/>
    <tableColumn id="4" name="Region"/>
    <tableColumn id="5" name="Category"/>
    <tableColumn id="6" name="Product"/>
    <tableColumn id="7" name="Brand"/>
    <tableColumn id="8" name="Units"/>
    <tableColumn id="9" name="UnitPrice"/>
    <tableColumn id="10" name="Discount"/>
    <tableColumn id="11" name="UnitCost"/>
    <tableColumn id="12" name="Revenue"/>
    <tableColumn id="13" name="CostTotal"/>
    <tableColumn id="14" name="Profit"/>
    <tableColumn id="15" name="PaymentMethod"/>
    <tableColumn id="16" name="OrderMonth"/>
    <tableColumn id="17" name="IsFirstCustomer"/>
    <tableColumn id="18" name="IsFirstCustomerIn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C6B7A"/>
  </sheetPr>
  <dimension ref="A1:L252"/>
  <sheetViews>
    <sheetView showGridLines="0" workbookViewId="0">
      <pane ySplit="3" topLeftCell="A4" activePane="bottomLeft" state="frozen"/>
      <selection/>
      <selection pane="bottomLeft" activeCell="A1" sqref="A1:L1"/>
    </sheetView>
  </sheetViews>
  <sheetFormatPr defaultColWidth="8.68181818181818" defaultRowHeight="14.5"/>
  <cols>
    <col min="1" max="2" width="14" style="1" customWidth="1"/>
    <col min="3" max="3" width="16" style="1" customWidth="1"/>
    <col min="4" max="11" width="14" style="1" customWidth="1"/>
    <col min="12" max="12" width="17" style="1" customWidth="1"/>
  </cols>
  <sheetData>
    <row r="1" ht="15.75" customHeight="1" spans="1:12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3" ht="15" customHeight="1" spans="1:12">
      <c r="A3" s="50" t="s">
        <v>1</v>
      </c>
      <c r="B3" s="50" t="s">
        <v>2</v>
      </c>
      <c r="C3" s="50" t="s">
        <v>3</v>
      </c>
      <c r="D3" s="50" t="s">
        <v>4</v>
      </c>
      <c r="E3" s="50" t="s">
        <v>5</v>
      </c>
      <c r="F3" s="50" t="s">
        <v>6</v>
      </c>
      <c r="G3" s="50" t="s">
        <v>7</v>
      </c>
      <c r="H3" s="50" t="s">
        <v>8</v>
      </c>
      <c r="I3" s="50" t="s">
        <v>9</v>
      </c>
      <c r="J3" s="50" t="s">
        <v>10</v>
      </c>
      <c r="K3" s="50" t="s">
        <v>11</v>
      </c>
      <c r="L3" s="50" t="s">
        <v>12</v>
      </c>
    </row>
    <row r="4" ht="15" customHeight="1" spans="1:12">
      <c r="A4" s="1" t="s">
        <v>13</v>
      </c>
      <c r="B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>
        <v>4</v>
      </c>
      <c r="I4" s="1">
        <v>954.83</v>
      </c>
      <c r="J4" s="1">
        <v>406.4</v>
      </c>
      <c r="K4" s="1">
        <v>0.15</v>
      </c>
      <c r="L4" s="1" t="s">
        <v>19</v>
      </c>
    </row>
    <row r="5" ht="15" customHeight="1" spans="1:1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18</v>
      </c>
      <c r="H5" s="1">
        <v>12</v>
      </c>
      <c r="I5" s="1">
        <v>2285.29</v>
      </c>
      <c r="J5" s="1">
        <v>1072.87</v>
      </c>
      <c r="K5" s="1">
        <v>0</v>
      </c>
      <c r="L5" s="1" t="s">
        <v>26</v>
      </c>
    </row>
    <row r="6" ht="15" customHeight="1" spans="1:12">
      <c r="A6" s="1" t="s">
        <v>27</v>
      </c>
      <c r="B6" s="1" t="s">
        <v>28</v>
      </c>
      <c r="C6" s="1" t="s">
        <v>29</v>
      </c>
      <c r="D6" s="1" t="s">
        <v>30</v>
      </c>
      <c r="E6" s="1" t="s">
        <v>24</v>
      </c>
      <c r="F6" s="1" t="s">
        <v>25</v>
      </c>
      <c r="G6" s="1" t="s">
        <v>31</v>
      </c>
      <c r="H6" s="1">
        <v>10</v>
      </c>
      <c r="I6" s="1">
        <v>1202.76</v>
      </c>
      <c r="J6" s="1">
        <v>502.02</v>
      </c>
      <c r="K6" s="1">
        <v>0.15</v>
      </c>
      <c r="L6" s="1" t="s">
        <v>32</v>
      </c>
    </row>
    <row r="7" ht="15" customHeight="1" spans="1:12">
      <c r="A7" s="1" t="s">
        <v>33</v>
      </c>
      <c r="B7" s="1" t="s">
        <v>34</v>
      </c>
      <c r="C7" s="1" t="s">
        <v>35</v>
      </c>
      <c r="D7" s="1" t="s">
        <v>36</v>
      </c>
      <c r="E7" s="1" t="s">
        <v>16</v>
      </c>
      <c r="F7" s="1" t="s">
        <v>37</v>
      </c>
      <c r="G7" s="1" t="s">
        <v>38</v>
      </c>
      <c r="H7" s="1">
        <v>12</v>
      </c>
      <c r="I7" s="1">
        <v>1449.61</v>
      </c>
      <c r="J7" s="1">
        <v>747.37</v>
      </c>
      <c r="K7" s="1">
        <v>0</v>
      </c>
      <c r="L7" s="1" t="s">
        <v>19</v>
      </c>
    </row>
    <row r="8" ht="15" customHeight="1" spans="1:12">
      <c r="A8" s="1" t="s">
        <v>39</v>
      </c>
      <c r="B8" s="1" t="s">
        <v>40</v>
      </c>
      <c r="D8" s="1" t="s">
        <v>41</v>
      </c>
      <c r="E8" s="1" t="s">
        <v>42</v>
      </c>
      <c r="F8" s="1" t="s">
        <v>43</v>
      </c>
      <c r="G8" s="1" t="s">
        <v>31</v>
      </c>
      <c r="H8" s="1">
        <v>3</v>
      </c>
      <c r="I8" s="1">
        <v>1458.15</v>
      </c>
      <c r="J8" s="1">
        <v>787.9</v>
      </c>
      <c r="K8" s="1">
        <v>0</v>
      </c>
      <c r="L8" s="1" t="s">
        <v>44</v>
      </c>
    </row>
    <row r="9" ht="15" customHeight="1" spans="1:12">
      <c r="A9" s="1" t="s">
        <v>45</v>
      </c>
      <c r="B9" s="1" t="s">
        <v>46</v>
      </c>
      <c r="C9" s="1" t="s">
        <v>47</v>
      </c>
      <c r="D9" s="1" t="s">
        <v>48</v>
      </c>
      <c r="E9" s="1" t="s">
        <v>16</v>
      </c>
      <c r="F9" s="1" t="s">
        <v>49</v>
      </c>
      <c r="G9" s="1" t="s">
        <v>38</v>
      </c>
      <c r="H9" s="1">
        <v>8</v>
      </c>
      <c r="I9" s="1">
        <v>2785.84</v>
      </c>
      <c r="J9" s="1">
        <v>1790.65</v>
      </c>
      <c r="K9" s="1">
        <v>0.2</v>
      </c>
      <c r="L9" s="1" t="s">
        <v>50</v>
      </c>
    </row>
    <row r="10" ht="15" customHeight="1" spans="1:12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>
        <v>5</v>
      </c>
      <c r="I10" s="1">
        <v>4254.85</v>
      </c>
      <c r="J10" s="1">
        <v>2241.95</v>
      </c>
      <c r="K10" s="1">
        <v>0</v>
      </c>
      <c r="L10" s="1" t="s">
        <v>32</v>
      </c>
    </row>
    <row r="11" ht="15" customHeight="1" spans="1:12">
      <c r="A11" s="1" t="s">
        <v>58</v>
      </c>
      <c r="B11" s="1" t="s">
        <v>59</v>
      </c>
      <c r="C11" s="1" t="s">
        <v>60</v>
      </c>
      <c r="D11" s="1" t="s">
        <v>23</v>
      </c>
      <c r="E11" s="1" t="s">
        <v>61</v>
      </c>
      <c r="F11" s="1" t="s">
        <v>62</v>
      </c>
      <c r="G11" s="1" t="s">
        <v>18</v>
      </c>
      <c r="H11" s="1">
        <v>10</v>
      </c>
      <c r="I11" s="1">
        <v>4749.66</v>
      </c>
      <c r="J11" s="1">
        <v>2001.57</v>
      </c>
      <c r="K11" s="1">
        <v>0.05</v>
      </c>
      <c r="L11" s="1" t="s">
        <v>32</v>
      </c>
    </row>
    <row r="12" ht="15" customHeight="1" spans="1:12">
      <c r="A12" s="1" t="s">
        <v>63</v>
      </c>
      <c r="B12" s="1" t="s">
        <v>64</v>
      </c>
      <c r="C12" s="1" t="s">
        <v>65</v>
      </c>
      <c r="D12" s="1" t="s">
        <v>48</v>
      </c>
      <c r="E12" s="1" t="s">
        <v>55</v>
      </c>
      <c r="F12" s="1" t="s">
        <v>66</v>
      </c>
      <c r="G12" s="1" t="s">
        <v>57</v>
      </c>
      <c r="H12" s="1">
        <v>11</v>
      </c>
      <c r="I12" s="1">
        <v>2054.08</v>
      </c>
      <c r="J12" s="1">
        <v>1283.6</v>
      </c>
      <c r="K12" s="1">
        <v>0.05</v>
      </c>
      <c r="L12" s="1" t="s">
        <v>19</v>
      </c>
    </row>
    <row r="13" ht="15" customHeight="1" spans="1:12">
      <c r="A13" s="1" t="s">
        <v>67</v>
      </c>
      <c r="B13" s="1" t="s">
        <v>68</v>
      </c>
      <c r="C13" s="1" t="s">
        <v>69</v>
      </c>
      <c r="D13" s="1" t="s">
        <v>41</v>
      </c>
      <c r="E13" s="1" t="s">
        <v>70</v>
      </c>
      <c r="F13" s="1" t="s">
        <v>37</v>
      </c>
      <c r="G13" s="1" t="s">
        <v>31</v>
      </c>
      <c r="H13" s="1">
        <v>11</v>
      </c>
      <c r="I13" s="1">
        <v>2580.45</v>
      </c>
      <c r="J13" s="1">
        <v>1380.05</v>
      </c>
      <c r="K13" s="1">
        <v>0.15</v>
      </c>
      <c r="L13" s="1" t="s">
        <v>26</v>
      </c>
    </row>
    <row r="14" ht="15" customHeight="1" spans="1:12">
      <c r="A14" s="1" t="s">
        <v>71</v>
      </c>
      <c r="B14" s="1" t="s">
        <v>72</v>
      </c>
      <c r="C14" s="1" t="s">
        <v>73</v>
      </c>
      <c r="D14" s="1" t="s">
        <v>48</v>
      </c>
      <c r="E14" s="1" t="s">
        <v>16</v>
      </c>
      <c r="F14" s="1" t="s">
        <v>17</v>
      </c>
      <c r="G14" s="1" t="s">
        <v>57</v>
      </c>
      <c r="H14" s="1">
        <v>6</v>
      </c>
      <c r="I14" s="1">
        <v>4061.78</v>
      </c>
      <c r="J14" s="1">
        <v>1735.67</v>
      </c>
      <c r="K14" s="1">
        <v>0</v>
      </c>
      <c r="L14" s="1" t="s">
        <v>32</v>
      </c>
    </row>
    <row r="15" ht="15" customHeight="1" spans="1:12">
      <c r="A15" s="1" t="s">
        <v>74</v>
      </c>
      <c r="B15" s="1" t="s">
        <v>75</v>
      </c>
      <c r="C15" s="1" t="s">
        <v>76</v>
      </c>
      <c r="D15" s="1" t="s">
        <v>41</v>
      </c>
      <c r="E15" s="1" t="s">
        <v>16</v>
      </c>
      <c r="F15" s="1" t="s">
        <v>17</v>
      </c>
      <c r="G15" s="1" t="s">
        <v>18</v>
      </c>
      <c r="H15" s="1">
        <v>7</v>
      </c>
      <c r="I15" s="1">
        <v>2581.51</v>
      </c>
      <c r="J15" s="1">
        <v>1170.55</v>
      </c>
      <c r="K15" s="1">
        <v>0.05</v>
      </c>
      <c r="L15" s="1" t="s">
        <v>19</v>
      </c>
    </row>
    <row r="16" ht="15" customHeight="1" spans="1:12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55</v>
      </c>
      <c r="F16" s="1" t="s">
        <v>81</v>
      </c>
      <c r="G16" s="1" t="s">
        <v>18</v>
      </c>
      <c r="H16" s="1">
        <v>1</v>
      </c>
      <c r="I16" s="1">
        <v>3021.15</v>
      </c>
      <c r="J16" s="1">
        <v>1617.97</v>
      </c>
      <c r="K16" s="1">
        <v>0.15</v>
      </c>
      <c r="L16" s="1" t="s">
        <v>50</v>
      </c>
    </row>
    <row r="17" ht="15" customHeight="1" spans="1:12">
      <c r="A17" s="1" t="s">
        <v>82</v>
      </c>
      <c r="B17" s="1" t="s">
        <v>83</v>
      </c>
      <c r="C17" s="1" t="s">
        <v>84</v>
      </c>
      <c r="D17" s="1" t="s">
        <v>30</v>
      </c>
      <c r="E17" s="1" t="s">
        <v>42</v>
      </c>
      <c r="F17" s="1" t="s">
        <v>85</v>
      </c>
      <c r="G17" s="1" t="s">
        <v>18</v>
      </c>
      <c r="H17" s="1">
        <v>10</v>
      </c>
      <c r="I17" s="1">
        <v>3093.24</v>
      </c>
      <c r="J17" s="1">
        <v>1716.27</v>
      </c>
      <c r="K17" s="1">
        <v>0.05</v>
      </c>
      <c r="L17" s="1" t="s">
        <v>44</v>
      </c>
    </row>
    <row r="18" ht="15" customHeight="1" spans="1:12">
      <c r="A18" s="1" t="s">
        <v>86</v>
      </c>
      <c r="B18" s="1" t="s">
        <v>87</v>
      </c>
      <c r="C18" s="1" t="s">
        <v>88</v>
      </c>
      <c r="D18" s="1" t="s">
        <v>30</v>
      </c>
      <c r="E18" s="1" t="s">
        <v>42</v>
      </c>
      <c r="F18" s="1" t="s">
        <v>89</v>
      </c>
      <c r="G18" s="1" t="s">
        <v>90</v>
      </c>
      <c r="I18" s="1">
        <v>2825.88</v>
      </c>
      <c r="J18" s="1">
        <v>1487.74</v>
      </c>
      <c r="K18" s="1">
        <v>0</v>
      </c>
      <c r="L18" s="1" t="s">
        <v>32</v>
      </c>
    </row>
    <row r="19" ht="15" customHeight="1" spans="1:12">
      <c r="A19" s="1" t="s">
        <v>91</v>
      </c>
      <c r="B19" s="1" t="s">
        <v>92</v>
      </c>
      <c r="C19" s="1" t="s">
        <v>93</v>
      </c>
      <c r="D19" s="1" t="s">
        <v>41</v>
      </c>
      <c r="E19" s="1" t="s">
        <v>61</v>
      </c>
      <c r="F19" s="1" t="s">
        <v>94</v>
      </c>
      <c r="G19" s="1" t="s">
        <v>31</v>
      </c>
      <c r="H19" s="1">
        <v>2</v>
      </c>
      <c r="I19" s="1">
        <v>4480.65</v>
      </c>
      <c r="J19" s="1">
        <v>2623.89</v>
      </c>
      <c r="K19" s="1">
        <v>0</v>
      </c>
      <c r="L19" s="1" t="s">
        <v>32</v>
      </c>
    </row>
    <row r="20" ht="15" customHeight="1" spans="1:12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61</v>
      </c>
      <c r="F20" s="1" t="s">
        <v>94</v>
      </c>
      <c r="G20" s="1" t="s">
        <v>31</v>
      </c>
      <c r="H20" s="1">
        <v>3</v>
      </c>
      <c r="I20" s="1">
        <v>3293.43</v>
      </c>
      <c r="J20" s="1">
        <v>1533.05</v>
      </c>
      <c r="K20" s="1">
        <v>0.15</v>
      </c>
      <c r="L20" s="1" t="s">
        <v>26</v>
      </c>
    </row>
    <row r="21" ht="15" customHeight="1" spans="1:12">
      <c r="A21" s="1" t="s">
        <v>99</v>
      </c>
      <c r="B21" s="1" t="s">
        <v>100</v>
      </c>
      <c r="C21" s="1" t="s">
        <v>101</v>
      </c>
      <c r="D21" s="1" t="s">
        <v>80</v>
      </c>
      <c r="E21" s="1" t="s">
        <v>16</v>
      </c>
      <c r="F21" s="1" t="s">
        <v>102</v>
      </c>
      <c r="G21" s="1" t="s">
        <v>90</v>
      </c>
      <c r="H21" s="1">
        <v>6</v>
      </c>
      <c r="I21" s="1">
        <v>1286.36</v>
      </c>
      <c r="J21" s="1">
        <v>594.79</v>
      </c>
      <c r="K21" s="1">
        <v>0</v>
      </c>
      <c r="L21" s="1" t="s">
        <v>26</v>
      </c>
    </row>
    <row r="22" ht="15" customHeight="1" spans="1:12">
      <c r="A22" s="1" t="s">
        <v>103</v>
      </c>
      <c r="B22" s="1" t="s">
        <v>104</v>
      </c>
      <c r="C22" s="1" t="s">
        <v>105</v>
      </c>
      <c r="D22" s="1" t="s">
        <v>41</v>
      </c>
      <c r="E22" s="1" t="s">
        <v>61</v>
      </c>
      <c r="F22" s="1" t="s">
        <v>106</v>
      </c>
      <c r="G22" s="1" t="s">
        <v>31</v>
      </c>
      <c r="H22" s="1">
        <v>3</v>
      </c>
      <c r="I22" s="1">
        <v>3999.66</v>
      </c>
      <c r="J22" s="1">
        <v>1707.95</v>
      </c>
      <c r="K22" s="1">
        <v>0.2</v>
      </c>
      <c r="L22" s="1" t="s">
        <v>32</v>
      </c>
    </row>
    <row r="23" ht="15" customHeight="1" spans="1:12">
      <c r="A23" s="1" t="s">
        <v>107</v>
      </c>
      <c r="B23" s="1" t="s">
        <v>108</v>
      </c>
      <c r="C23" s="1" t="s">
        <v>109</v>
      </c>
      <c r="D23" s="1" t="s">
        <v>30</v>
      </c>
      <c r="E23" s="1" t="s">
        <v>110</v>
      </c>
      <c r="F23" s="1" t="s">
        <v>111</v>
      </c>
      <c r="G23" s="1" t="s">
        <v>112</v>
      </c>
      <c r="H23" s="1">
        <v>11</v>
      </c>
      <c r="I23" s="1">
        <v>4910.4</v>
      </c>
      <c r="J23" s="1">
        <v>2622.42</v>
      </c>
      <c r="K23" s="1">
        <v>0</v>
      </c>
      <c r="L23" s="1" t="s">
        <v>50</v>
      </c>
    </row>
    <row r="24" ht="15" customHeight="1" spans="1:12">
      <c r="A24" s="1" t="s">
        <v>113</v>
      </c>
      <c r="B24" s="1" t="s">
        <v>114</v>
      </c>
      <c r="C24" s="1" t="s">
        <v>115</v>
      </c>
      <c r="D24" s="1" t="s">
        <v>80</v>
      </c>
      <c r="E24" s="1" t="s">
        <v>24</v>
      </c>
      <c r="F24" s="1" t="s">
        <v>116</v>
      </c>
      <c r="G24" s="1" t="s">
        <v>90</v>
      </c>
      <c r="H24" s="1">
        <v>12</v>
      </c>
      <c r="I24" s="1">
        <v>2348.47</v>
      </c>
      <c r="J24" s="1">
        <v>1244.64</v>
      </c>
      <c r="K24" s="1">
        <v>0.2</v>
      </c>
      <c r="L24" s="1" t="s">
        <v>19</v>
      </c>
    </row>
    <row r="25" ht="15" customHeight="1" spans="1:12">
      <c r="A25" s="1" t="s">
        <v>117</v>
      </c>
      <c r="B25" s="1" t="s">
        <v>118</v>
      </c>
      <c r="C25" s="1" t="s">
        <v>119</v>
      </c>
      <c r="D25" s="1" t="s">
        <v>41</v>
      </c>
      <c r="E25" s="1" t="s">
        <v>61</v>
      </c>
      <c r="F25" s="1" t="s">
        <v>120</v>
      </c>
      <c r="G25" s="1" t="s">
        <v>18</v>
      </c>
      <c r="H25" s="1">
        <v>7</v>
      </c>
      <c r="I25" s="1">
        <v>3424.17</v>
      </c>
      <c r="J25" s="1">
        <v>1694.23</v>
      </c>
      <c r="K25" s="1">
        <v>0.15</v>
      </c>
      <c r="L25" s="1" t="s">
        <v>44</v>
      </c>
    </row>
    <row r="26" ht="15" customHeight="1" spans="1:12">
      <c r="A26" s="1" t="s">
        <v>121</v>
      </c>
      <c r="B26" s="1" t="s">
        <v>122</v>
      </c>
      <c r="C26" s="1" t="s">
        <v>123</v>
      </c>
      <c r="D26" s="1" t="s">
        <v>41</v>
      </c>
      <c r="E26" s="1" t="s">
        <v>24</v>
      </c>
      <c r="F26" s="1" t="s">
        <v>124</v>
      </c>
      <c r="G26" s="1" t="s">
        <v>57</v>
      </c>
      <c r="H26" s="1">
        <v>2</v>
      </c>
      <c r="I26" s="1">
        <v>1632.8</v>
      </c>
      <c r="J26" s="1">
        <v>924.11</v>
      </c>
      <c r="K26" s="1">
        <v>0.1</v>
      </c>
      <c r="L26" s="1" t="s">
        <v>32</v>
      </c>
    </row>
    <row r="27" ht="15" customHeight="1" spans="1:12">
      <c r="A27" s="1" t="s">
        <v>125</v>
      </c>
      <c r="B27" s="1" t="s">
        <v>126</v>
      </c>
      <c r="C27" s="1" t="s">
        <v>127</v>
      </c>
      <c r="D27" s="1" t="s">
        <v>48</v>
      </c>
      <c r="E27" s="1" t="s">
        <v>24</v>
      </c>
      <c r="F27" s="1" t="s">
        <v>116</v>
      </c>
      <c r="G27" s="1" t="s">
        <v>112</v>
      </c>
      <c r="H27" s="1">
        <v>7</v>
      </c>
      <c r="I27" s="1">
        <v>1445.73</v>
      </c>
      <c r="J27" s="1">
        <v>815.41</v>
      </c>
      <c r="K27" s="1">
        <v>0</v>
      </c>
      <c r="L27" s="1" t="s">
        <v>32</v>
      </c>
    </row>
    <row r="28" ht="15" customHeight="1" spans="1:12">
      <c r="A28" s="1" t="s">
        <v>128</v>
      </c>
      <c r="B28" s="1" t="s">
        <v>129</v>
      </c>
      <c r="C28" s="1" t="s">
        <v>130</v>
      </c>
      <c r="D28" s="1" t="s">
        <v>80</v>
      </c>
      <c r="E28" s="1" t="s">
        <v>24</v>
      </c>
      <c r="F28" s="1" t="s">
        <v>131</v>
      </c>
      <c r="G28" s="1" t="s">
        <v>112</v>
      </c>
      <c r="H28" s="1">
        <v>10</v>
      </c>
      <c r="I28" s="1">
        <v>4129.53</v>
      </c>
      <c r="J28" s="1">
        <v>2572.72</v>
      </c>
      <c r="K28" s="1">
        <v>0.05</v>
      </c>
      <c r="L28" s="1" t="s">
        <v>26</v>
      </c>
    </row>
    <row r="29" ht="15" customHeight="1" spans="1:12">
      <c r="A29" s="1" t="s">
        <v>132</v>
      </c>
      <c r="B29" s="1" t="s">
        <v>52</v>
      </c>
      <c r="C29" s="1" t="s">
        <v>133</v>
      </c>
      <c r="D29" s="1" t="s">
        <v>80</v>
      </c>
      <c r="E29" s="1" t="s">
        <v>55</v>
      </c>
      <c r="F29" s="1" t="s">
        <v>66</v>
      </c>
      <c r="G29" s="1" t="s">
        <v>31</v>
      </c>
      <c r="H29" s="1">
        <v>9</v>
      </c>
      <c r="I29" s="1">
        <v>677.71</v>
      </c>
      <c r="J29" s="1">
        <v>296.64</v>
      </c>
      <c r="K29" s="1">
        <v>0.05</v>
      </c>
      <c r="L29" s="1" t="s">
        <v>26</v>
      </c>
    </row>
    <row r="30" ht="15" customHeight="1" spans="1:12">
      <c r="A30" s="1" t="s">
        <v>134</v>
      </c>
      <c r="B30" s="1" t="s">
        <v>135</v>
      </c>
      <c r="C30" s="1" t="s">
        <v>97</v>
      </c>
      <c r="D30" s="1" t="s">
        <v>48</v>
      </c>
      <c r="E30" s="1" t="s">
        <v>24</v>
      </c>
      <c r="F30" s="1" t="s">
        <v>124</v>
      </c>
      <c r="G30" s="1" t="s">
        <v>90</v>
      </c>
      <c r="H30" s="1">
        <v>6</v>
      </c>
      <c r="I30" s="1">
        <v>1702.48</v>
      </c>
      <c r="J30" s="1">
        <v>846.98</v>
      </c>
      <c r="K30" s="1">
        <v>0.2</v>
      </c>
      <c r="L30" s="1" t="s">
        <v>136</v>
      </c>
    </row>
    <row r="31" ht="15" customHeight="1" spans="1:12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55</v>
      </c>
      <c r="F31" s="1" t="s">
        <v>141</v>
      </c>
      <c r="G31" s="1" t="s">
        <v>38</v>
      </c>
      <c r="H31" s="1">
        <v>9</v>
      </c>
      <c r="I31" s="1">
        <v>425.74</v>
      </c>
      <c r="J31" s="1">
        <v>212.23</v>
      </c>
      <c r="K31" s="1">
        <v>0.1</v>
      </c>
      <c r="L31" s="1" t="s">
        <v>26</v>
      </c>
    </row>
    <row r="32" ht="15" customHeight="1" spans="1:12">
      <c r="A32" s="1" t="s">
        <v>142</v>
      </c>
      <c r="B32" s="1" t="s">
        <v>143</v>
      </c>
      <c r="C32" s="1" t="s">
        <v>144</v>
      </c>
      <c r="D32" s="1" t="s">
        <v>23</v>
      </c>
      <c r="E32" s="1" t="s">
        <v>145</v>
      </c>
      <c r="F32" s="1" t="s">
        <v>146</v>
      </c>
      <c r="G32" s="1" t="s">
        <v>112</v>
      </c>
      <c r="H32" s="1">
        <v>1</v>
      </c>
      <c r="I32" s="1">
        <v>3819.41</v>
      </c>
      <c r="J32" s="1">
        <v>1577.5</v>
      </c>
      <c r="K32" s="1">
        <v>0</v>
      </c>
      <c r="L32" s="1" t="s">
        <v>136</v>
      </c>
    </row>
    <row r="33" ht="15" customHeight="1" spans="1:12">
      <c r="A33" s="1" t="s">
        <v>147</v>
      </c>
      <c r="B33" s="1" t="s">
        <v>148</v>
      </c>
      <c r="C33" s="1" t="s">
        <v>149</v>
      </c>
      <c r="D33" s="1" t="s">
        <v>80</v>
      </c>
      <c r="E33" s="1" t="s">
        <v>55</v>
      </c>
      <c r="F33" s="1" t="s">
        <v>141</v>
      </c>
      <c r="G33" s="1" t="s">
        <v>31</v>
      </c>
      <c r="H33" s="1">
        <v>3</v>
      </c>
      <c r="I33" s="1">
        <v>3146.7</v>
      </c>
      <c r="J33" s="1">
        <v>2016.83</v>
      </c>
      <c r="K33" s="1">
        <v>0.15</v>
      </c>
      <c r="L33" s="1" t="s">
        <v>19</v>
      </c>
    </row>
    <row r="34" ht="15" customHeight="1" spans="1:12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55</v>
      </c>
      <c r="F34" s="1" t="s">
        <v>154</v>
      </c>
      <c r="G34" s="1" t="s">
        <v>57</v>
      </c>
      <c r="H34" s="1">
        <v>10</v>
      </c>
      <c r="I34" s="1">
        <v>4084.98</v>
      </c>
      <c r="J34" s="1">
        <v>2447.14</v>
      </c>
      <c r="K34" s="1">
        <v>0.1</v>
      </c>
      <c r="L34" s="1" t="s">
        <v>26</v>
      </c>
    </row>
    <row r="35" ht="15" customHeight="1" spans="1:12">
      <c r="A35" s="1" t="s">
        <v>155</v>
      </c>
      <c r="B35" s="1" t="s">
        <v>156</v>
      </c>
      <c r="C35" s="1" t="s">
        <v>157</v>
      </c>
      <c r="D35" s="1" t="s">
        <v>48</v>
      </c>
      <c r="E35" s="1" t="s">
        <v>42</v>
      </c>
      <c r="F35" s="1" t="s">
        <v>158</v>
      </c>
      <c r="G35" s="1" t="s">
        <v>18</v>
      </c>
      <c r="H35" s="1">
        <v>12</v>
      </c>
      <c r="I35" s="1">
        <v>2751.21</v>
      </c>
      <c r="J35" s="1">
        <v>1547.87</v>
      </c>
      <c r="K35" s="1">
        <v>0.1</v>
      </c>
      <c r="L35" s="1" t="s">
        <v>136</v>
      </c>
    </row>
    <row r="36" ht="15" customHeight="1" spans="1:12">
      <c r="A36" s="1" t="s">
        <v>159</v>
      </c>
      <c r="B36" s="1" t="s">
        <v>160</v>
      </c>
      <c r="C36" s="1" t="s">
        <v>161</v>
      </c>
      <c r="D36" s="1" t="s">
        <v>48</v>
      </c>
      <c r="E36" s="1" t="s">
        <v>110</v>
      </c>
      <c r="F36" s="1" t="s">
        <v>94</v>
      </c>
      <c r="G36" s="1" t="s">
        <v>31</v>
      </c>
      <c r="H36" s="1">
        <v>3</v>
      </c>
      <c r="I36" s="1">
        <v>2590.48</v>
      </c>
      <c r="J36" s="1">
        <v>1265.98</v>
      </c>
      <c r="K36" s="1">
        <v>0</v>
      </c>
      <c r="L36" s="1" t="s">
        <v>50</v>
      </c>
    </row>
    <row r="37" ht="15" customHeight="1" spans="1:12">
      <c r="A37" s="1" t="s">
        <v>162</v>
      </c>
      <c r="B37" s="1" t="s">
        <v>163</v>
      </c>
      <c r="C37" s="1" t="s">
        <v>164</v>
      </c>
      <c r="D37" s="1" t="s">
        <v>54</v>
      </c>
      <c r="E37" s="1" t="s">
        <v>42</v>
      </c>
      <c r="F37" s="1" t="s">
        <v>43</v>
      </c>
      <c r="G37" s="1" t="s">
        <v>90</v>
      </c>
      <c r="H37" s="1">
        <v>5</v>
      </c>
      <c r="I37" s="1">
        <v>1340.5</v>
      </c>
      <c r="J37" s="1">
        <v>768.04</v>
      </c>
      <c r="K37" s="1">
        <v>0</v>
      </c>
      <c r="L37" s="1" t="s">
        <v>50</v>
      </c>
    </row>
    <row r="38" ht="15" customHeight="1" spans="1:12">
      <c r="A38" s="1" t="s">
        <v>165</v>
      </c>
      <c r="B38" s="1" t="s">
        <v>166</v>
      </c>
      <c r="C38" s="1" t="s">
        <v>167</v>
      </c>
      <c r="D38" s="1" t="s">
        <v>41</v>
      </c>
      <c r="E38" s="1" t="s">
        <v>24</v>
      </c>
      <c r="F38" s="1" t="s">
        <v>116</v>
      </c>
      <c r="G38" s="1" t="s">
        <v>18</v>
      </c>
      <c r="H38" s="1">
        <v>12</v>
      </c>
      <c r="I38" s="1">
        <v>2574.73</v>
      </c>
      <c r="J38" s="1">
        <v>1496.29</v>
      </c>
      <c r="K38" s="1">
        <v>0.2</v>
      </c>
      <c r="L38" s="1" t="s">
        <v>19</v>
      </c>
    </row>
    <row r="39" ht="15" customHeight="1" spans="1:12">
      <c r="A39" s="1" t="s">
        <v>168</v>
      </c>
      <c r="B39" s="1" t="s">
        <v>169</v>
      </c>
      <c r="C39" s="1" t="s">
        <v>170</v>
      </c>
      <c r="D39" s="1" t="s">
        <v>23</v>
      </c>
      <c r="E39" s="1" t="s">
        <v>171</v>
      </c>
      <c r="F39" s="1" t="s">
        <v>141</v>
      </c>
      <c r="G39" s="1" t="s">
        <v>90</v>
      </c>
      <c r="H39" s="1">
        <v>10</v>
      </c>
      <c r="I39" s="1">
        <v>1635.39</v>
      </c>
      <c r="J39" s="1">
        <v>849.88</v>
      </c>
      <c r="K39" s="1">
        <v>0</v>
      </c>
      <c r="L39" s="1" t="s">
        <v>26</v>
      </c>
    </row>
    <row r="40" ht="15" customHeight="1" spans="1:12">
      <c r="A40" s="1" t="s">
        <v>172</v>
      </c>
      <c r="B40" s="1" t="s">
        <v>83</v>
      </c>
      <c r="C40" s="1" t="s">
        <v>173</v>
      </c>
      <c r="D40" s="1" t="s">
        <v>54</v>
      </c>
      <c r="E40" s="1" t="s">
        <v>16</v>
      </c>
      <c r="F40" s="1" t="s">
        <v>174</v>
      </c>
      <c r="G40" s="1" t="s">
        <v>38</v>
      </c>
      <c r="H40" s="1">
        <v>7</v>
      </c>
      <c r="I40" s="1">
        <v>3148.69</v>
      </c>
      <c r="J40" s="1">
        <v>1881.93</v>
      </c>
      <c r="K40" s="1">
        <v>0</v>
      </c>
      <c r="L40" s="1" t="s">
        <v>26</v>
      </c>
    </row>
    <row r="41" ht="15" customHeight="1" spans="1:12">
      <c r="A41" s="1" t="s">
        <v>175</v>
      </c>
      <c r="B41" s="1" t="s">
        <v>176</v>
      </c>
      <c r="C41" s="1" t="s">
        <v>177</v>
      </c>
      <c r="D41" s="1" t="s">
        <v>140</v>
      </c>
      <c r="E41" s="1" t="s">
        <v>61</v>
      </c>
      <c r="F41" s="1" t="s">
        <v>94</v>
      </c>
      <c r="G41" s="1" t="s">
        <v>18</v>
      </c>
      <c r="H41" s="1">
        <v>3</v>
      </c>
      <c r="I41" s="1">
        <v>2893.36</v>
      </c>
      <c r="J41" s="1">
        <v>1270.57</v>
      </c>
      <c r="K41" s="1">
        <v>0.05</v>
      </c>
      <c r="L41" s="1" t="s">
        <v>44</v>
      </c>
    </row>
    <row r="42" ht="15" customHeight="1" spans="1:12">
      <c r="A42" s="1" t="s">
        <v>178</v>
      </c>
      <c r="B42" s="1" t="s">
        <v>179</v>
      </c>
      <c r="C42" s="1" t="s">
        <v>180</v>
      </c>
      <c r="D42" s="1" t="s">
        <v>48</v>
      </c>
      <c r="E42" s="1" t="s">
        <v>24</v>
      </c>
      <c r="F42" s="1" t="s">
        <v>116</v>
      </c>
      <c r="G42" s="1" t="s">
        <v>90</v>
      </c>
      <c r="H42" s="1">
        <v>9</v>
      </c>
      <c r="I42" s="1">
        <v>1355.6</v>
      </c>
      <c r="J42" s="1">
        <v>592.73</v>
      </c>
      <c r="K42" s="1">
        <v>0</v>
      </c>
      <c r="L42" s="1" t="s">
        <v>32</v>
      </c>
    </row>
    <row r="43" ht="15" customHeight="1" spans="1:12">
      <c r="A43" s="1" t="s">
        <v>181</v>
      </c>
      <c r="B43" s="1" t="s">
        <v>182</v>
      </c>
      <c r="C43" s="1" t="s">
        <v>183</v>
      </c>
      <c r="D43" s="1" t="s">
        <v>48</v>
      </c>
      <c r="E43" s="1" t="s">
        <v>24</v>
      </c>
      <c r="F43" s="1" t="s">
        <v>124</v>
      </c>
      <c r="G43" s="1" t="s">
        <v>90</v>
      </c>
      <c r="H43" s="1">
        <v>10</v>
      </c>
      <c r="I43" s="1">
        <v>486.35</v>
      </c>
      <c r="J43" s="1">
        <v>247.07</v>
      </c>
      <c r="K43" s="1">
        <v>0</v>
      </c>
      <c r="L43" s="1" t="s">
        <v>32</v>
      </c>
    </row>
    <row r="44" ht="15" customHeight="1" spans="1:12">
      <c r="A44" s="1" t="s">
        <v>184</v>
      </c>
      <c r="B44" s="1" t="s">
        <v>185</v>
      </c>
      <c r="C44" s="1" t="s">
        <v>186</v>
      </c>
      <c r="D44" s="1" t="s">
        <v>48</v>
      </c>
      <c r="E44" s="1" t="s">
        <v>145</v>
      </c>
      <c r="F44" s="1" t="s">
        <v>89</v>
      </c>
      <c r="G44" s="1" t="s">
        <v>31</v>
      </c>
      <c r="H44" s="1">
        <v>3</v>
      </c>
      <c r="I44" s="1">
        <v>4984.64</v>
      </c>
      <c r="J44" s="1">
        <v>2537.04</v>
      </c>
      <c r="K44" s="1">
        <v>0.2</v>
      </c>
      <c r="L44" s="1" t="s">
        <v>44</v>
      </c>
    </row>
    <row r="45" ht="15" customHeight="1" spans="1:12">
      <c r="A45" s="1" t="s">
        <v>187</v>
      </c>
      <c r="B45" s="1" t="s">
        <v>188</v>
      </c>
      <c r="C45" s="1" t="s">
        <v>189</v>
      </c>
      <c r="D45" s="1" t="s">
        <v>98</v>
      </c>
      <c r="E45" s="1" t="s">
        <v>16</v>
      </c>
      <c r="F45" s="1" t="s">
        <v>49</v>
      </c>
      <c r="G45" s="1" t="s">
        <v>31</v>
      </c>
      <c r="H45" s="1">
        <v>5</v>
      </c>
      <c r="I45" s="1">
        <v>1818.39</v>
      </c>
      <c r="J45" s="1">
        <v>1168.4</v>
      </c>
      <c r="K45" s="1">
        <v>0.05</v>
      </c>
      <c r="L45" s="1" t="s">
        <v>50</v>
      </c>
    </row>
    <row r="46" ht="15" customHeight="1" spans="1:12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61</v>
      </c>
      <c r="F46" s="1" t="s">
        <v>106</v>
      </c>
      <c r="G46" s="1" t="s">
        <v>90</v>
      </c>
      <c r="H46" s="1">
        <v>1</v>
      </c>
      <c r="I46" s="1">
        <v>4872.79</v>
      </c>
      <c r="J46" s="1">
        <v>2690.84</v>
      </c>
      <c r="K46" s="1">
        <v>0</v>
      </c>
      <c r="L46" s="1" t="s">
        <v>19</v>
      </c>
    </row>
    <row r="47" ht="15" customHeight="1" spans="1:12">
      <c r="A47" s="1" t="s">
        <v>194</v>
      </c>
      <c r="B47" s="1" t="s">
        <v>195</v>
      </c>
      <c r="C47" s="1" t="s">
        <v>196</v>
      </c>
      <c r="D47" s="1" t="s">
        <v>48</v>
      </c>
      <c r="E47" s="1" t="s">
        <v>24</v>
      </c>
      <c r="F47" s="1" t="s">
        <v>25</v>
      </c>
      <c r="G47" s="1" t="s">
        <v>112</v>
      </c>
      <c r="H47" s="1">
        <v>8</v>
      </c>
      <c r="I47" s="1">
        <v>1444.54</v>
      </c>
      <c r="J47" s="1">
        <v>776.9</v>
      </c>
      <c r="K47" s="1">
        <v>0.05</v>
      </c>
      <c r="L47" s="1" t="s">
        <v>136</v>
      </c>
    </row>
    <row r="48" ht="15" customHeight="1" spans="1:12">
      <c r="A48" s="1" t="s">
        <v>197</v>
      </c>
      <c r="B48" s="1" t="s">
        <v>198</v>
      </c>
      <c r="C48" s="1" t="s">
        <v>199</v>
      </c>
      <c r="D48" s="1" t="s">
        <v>30</v>
      </c>
      <c r="E48" s="1" t="s">
        <v>61</v>
      </c>
      <c r="F48" s="1" t="s">
        <v>120</v>
      </c>
      <c r="G48" s="1" t="s">
        <v>57</v>
      </c>
      <c r="H48" s="1">
        <v>8</v>
      </c>
      <c r="I48" s="1">
        <v>4365.72</v>
      </c>
      <c r="J48" s="1">
        <v>2233.66</v>
      </c>
      <c r="K48" s="1">
        <v>0.05</v>
      </c>
      <c r="L48" s="1" t="s">
        <v>50</v>
      </c>
    </row>
    <row r="49" ht="15" customHeight="1" spans="1:12">
      <c r="A49" s="1" t="s">
        <v>200</v>
      </c>
      <c r="B49" s="1" t="s">
        <v>201</v>
      </c>
      <c r="C49" s="1" t="s">
        <v>202</v>
      </c>
      <c r="D49" s="1" t="s">
        <v>48</v>
      </c>
      <c r="E49" s="1" t="s">
        <v>42</v>
      </c>
      <c r="F49" s="1" t="s">
        <v>43</v>
      </c>
      <c r="G49" s="1" t="s">
        <v>57</v>
      </c>
      <c r="H49" s="1">
        <v>11</v>
      </c>
      <c r="I49" s="1">
        <v>4908.85</v>
      </c>
      <c r="J49" s="1">
        <v>2571.41</v>
      </c>
      <c r="K49" s="1">
        <v>0</v>
      </c>
      <c r="L49" s="1" t="s">
        <v>44</v>
      </c>
    </row>
    <row r="50" ht="15" customHeight="1" spans="1:12">
      <c r="A50" s="1" t="s">
        <v>203</v>
      </c>
      <c r="B50" s="1" t="s">
        <v>204</v>
      </c>
      <c r="C50" s="1" t="s">
        <v>205</v>
      </c>
      <c r="D50" s="1" t="s">
        <v>80</v>
      </c>
      <c r="E50" s="1" t="s">
        <v>42</v>
      </c>
      <c r="F50" s="1" t="s">
        <v>146</v>
      </c>
      <c r="G50" s="1" t="s">
        <v>38</v>
      </c>
      <c r="H50" s="1">
        <v>12</v>
      </c>
      <c r="I50" s="1">
        <v>2167.17</v>
      </c>
      <c r="J50" s="1">
        <v>910.38</v>
      </c>
      <c r="K50" s="1">
        <v>0</v>
      </c>
      <c r="L50" s="1" t="s">
        <v>136</v>
      </c>
    </row>
    <row r="51" ht="15" customHeight="1" spans="1:12">
      <c r="A51" s="1" t="s">
        <v>206</v>
      </c>
      <c r="B51" s="1" t="s">
        <v>207</v>
      </c>
      <c r="C51" s="1" t="s">
        <v>208</v>
      </c>
      <c r="D51" s="1" t="s">
        <v>48</v>
      </c>
      <c r="E51" s="1" t="s">
        <v>16</v>
      </c>
      <c r="F51" s="1" t="s">
        <v>17</v>
      </c>
      <c r="G51" s="1" t="s">
        <v>18</v>
      </c>
      <c r="H51" s="1">
        <v>12</v>
      </c>
      <c r="I51" s="1">
        <v>1706.49</v>
      </c>
      <c r="J51" s="1">
        <v>694.95</v>
      </c>
      <c r="K51" s="1">
        <v>0</v>
      </c>
      <c r="L51" s="1" t="s">
        <v>44</v>
      </c>
    </row>
    <row r="52" ht="15" customHeight="1" spans="1:12">
      <c r="A52" s="1" t="s">
        <v>209</v>
      </c>
      <c r="B52" s="1" t="s">
        <v>210</v>
      </c>
      <c r="C52" s="1" t="s">
        <v>211</v>
      </c>
      <c r="D52" s="1" t="s">
        <v>41</v>
      </c>
      <c r="E52" s="1" t="s">
        <v>42</v>
      </c>
      <c r="F52" s="1" t="s">
        <v>89</v>
      </c>
      <c r="G52" s="1" t="s">
        <v>18</v>
      </c>
      <c r="H52" s="1">
        <v>8</v>
      </c>
      <c r="I52" s="1">
        <v>3297.15</v>
      </c>
      <c r="J52" s="1">
        <v>1697.68</v>
      </c>
      <c r="K52" s="1">
        <v>0.15</v>
      </c>
      <c r="L52" s="1" t="s">
        <v>44</v>
      </c>
    </row>
    <row r="53" ht="15" customHeight="1" spans="1:12">
      <c r="A53" s="1" t="s">
        <v>212</v>
      </c>
      <c r="B53" s="1" t="s">
        <v>213</v>
      </c>
      <c r="C53" s="1" t="s">
        <v>214</v>
      </c>
      <c r="D53" s="1" t="s">
        <v>193</v>
      </c>
      <c r="E53" s="1" t="s">
        <v>55</v>
      </c>
      <c r="F53" s="1" t="s">
        <v>141</v>
      </c>
      <c r="G53" s="1" t="s">
        <v>90</v>
      </c>
      <c r="H53" s="1">
        <v>4</v>
      </c>
      <c r="I53" s="1">
        <v>2091.41</v>
      </c>
      <c r="J53" s="1">
        <v>1024.25</v>
      </c>
      <c r="K53" s="1">
        <v>0</v>
      </c>
      <c r="L53" s="1" t="s">
        <v>136</v>
      </c>
    </row>
    <row r="54" ht="15" customHeight="1" spans="1:12">
      <c r="A54" s="1" t="s">
        <v>215</v>
      </c>
      <c r="B54" s="1" t="s">
        <v>216</v>
      </c>
      <c r="C54" s="1" t="s">
        <v>217</v>
      </c>
      <c r="D54" s="1" t="s">
        <v>80</v>
      </c>
      <c r="E54" s="1" t="s">
        <v>55</v>
      </c>
      <c r="F54" s="1" t="s">
        <v>56</v>
      </c>
      <c r="G54" s="1" t="s">
        <v>18</v>
      </c>
      <c r="H54" s="1">
        <v>11</v>
      </c>
      <c r="I54" s="1">
        <v>1192.62</v>
      </c>
      <c r="J54" s="1">
        <v>551.77</v>
      </c>
      <c r="K54" s="1">
        <v>0.2</v>
      </c>
      <c r="L54" s="1" t="s">
        <v>136</v>
      </c>
    </row>
    <row r="55" ht="15" customHeight="1" spans="1:12">
      <c r="A55" s="1" t="s">
        <v>218</v>
      </c>
      <c r="B55" s="1" t="s">
        <v>219</v>
      </c>
      <c r="C55" s="1" t="s">
        <v>220</v>
      </c>
      <c r="D55" s="1" t="s">
        <v>80</v>
      </c>
      <c r="E55" s="1" t="s">
        <v>171</v>
      </c>
      <c r="F55" s="1" t="s">
        <v>56</v>
      </c>
      <c r="G55" s="1" t="s">
        <v>38</v>
      </c>
      <c r="H55" s="1">
        <v>9</v>
      </c>
      <c r="I55" s="1">
        <v>4592.39</v>
      </c>
      <c r="J55" s="1">
        <v>2790.42</v>
      </c>
      <c r="K55" s="1">
        <v>0</v>
      </c>
      <c r="L55" s="1" t="s">
        <v>44</v>
      </c>
    </row>
    <row r="56" ht="15" customHeight="1" spans="1:12">
      <c r="A56" s="1" t="s">
        <v>221</v>
      </c>
      <c r="B56" s="1" t="s">
        <v>222</v>
      </c>
      <c r="C56" s="1" t="s">
        <v>223</v>
      </c>
      <c r="D56" s="1" t="s">
        <v>98</v>
      </c>
      <c r="E56" s="1" t="s">
        <v>24</v>
      </c>
      <c r="F56" s="1" t="s">
        <v>25</v>
      </c>
      <c r="G56" s="1" t="s">
        <v>112</v>
      </c>
      <c r="H56" s="1">
        <v>1</v>
      </c>
      <c r="I56" s="1">
        <v>1541.96</v>
      </c>
      <c r="J56" s="1">
        <v>664.43</v>
      </c>
      <c r="K56" s="1">
        <v>0</v>
      </c>
      <c r="L56" s="1" t="s">
        <v>136</v>
      </c>
    </row>
    <row r="57" ht="15" customHeight="1" spans="1:12">
      <c r="A57" s="1" t="s">
        <v>224</v>
      </c>
      <c r="B57" s="1" t="s">
        <v>108</v>
      </c>
      <c r="C57" s="1" t="s">
        <v>225</v>
      </c>
      <c r="D57" s="1" t="s">
        <v>226</v>
      </c>
      <c r="E57" s="1" t="s">
        <v>42</v>
      </c>
      <c r="F57" s="1" t="s">
        <v>146</v>
      </c>
      <c r="G57" s="1" t="s">
        <v>90</v>
      </c>
      <c r="H57" s="1">
        <v>3</v>
      </c>
      <c r="I57" s="1">
        <v>512.13</v>
      </c>
      <c r="J57" s="1">
        <v>209.62</v>
      </c>
      <c r="K57" s="1">
        <v>0.05</v>
      </c>
      <c r="L57" s="1" t="s">
        <v>50</v>
      </c>
    </row>
    <row r="58" ht="15" customHeight="1" spans="1:12">
      <c r="A58" s="1" t="s">
        <v>227</v>
      </c>
      <c r="B58" s="1" t="s">
        <v>228</v>
      </c>
      <c r="C58" s="1" t="s">
        <v>229</v>
      </c>
      <c r="D58" s="1" t="s">
        <v>48</v>
      </c>
      <c r="E58" s="1" t="s">
        <v>145</v>
      </c>
      <c r="F58" s="1" t="s">
        <v>85</v>
      </c>
      <c r="G58" s="1" t="s">
        <v>38</v>
      </c>
      <c r="H58" s="1">
        <v>7</v>
      </c>
      <c r="I58" s="1">
        <v>4712.55</v>
      </c>
      <c r="J58" s="1">
        <v>2214.59</v>
      </c>
      <c r="K58" s="1">
        <v>0.15</v>
      </c>
      <c r="L58" s="1" t="s">
        <v>26</v>
      </c>
    </row>
    <row r="59" ht="15" customHeight="1" spans="1:12">
      <c r="A59" s="1" t="s">
        <v>230</v>
      </c>
      <c r="B59" s="1" t="s">
        <v>231</v>
      </c>
      <c r="C59" s="1" t="s">
        <v>232</v>
      </c>
      <c r="D59" s="1" t="s">
        <v>54</v>
      </c>
      <c r="E59" s="1" t="s">
        <v>16</v>
      </c>
      <c r="F59" s="1" t="s">
        <v>49</v>
      </c>
      <c r="G59" s="1" t="s">
        <v>57</v>
      </c>
      <c r="H59" s="1">
        <v>4</v>
      </c>
      <c r="I59" s="1">
        <v>3315.01</v>
      </c>
      <c r="J59" s="1">
        <v>1820.89</v>
      </c>
      <c r="K59" s="1">
        <v>0</v>
      </c>
      <c r="L59" s="1" t="s">
        <v>32</v>
      </c>
    </row>
    <row r="60" ht="15" customHeight="1" spans="1:12">
      <c r="A60" s="1" t="s">
        <v>233</v>
      </c>
      <c r="B60" s="1" t="s">
        <v>234</v>
      </c>
      <c r="D60" s="1" t="s">
        <v>80</v>
      </c>
      <c r="E60" s="1" t="s">
        <v>24</v>
      </c>
      <c r="F60" s="1" t="s">
        <v>235</v>
      </c>
      <c r="G60" s="1" t="s">
        <v>18</v>
      </c>
      <c r="H60" s="1">
        <v>3</v>
      </c>
      <c r="I60" s="1">
        <v>2838.01</v>
      </c>
      <c r="J60" s="1">
        <v>1701.75</v>
      </c>
      <c r="K60" s="1">
        <v>0</v>
      </c>
      <c r="L60" s="1" t="s">
        <v>44</v>
      </c>
    </row>
    <row r="61" ht="15" customHeight="1" spans="1:12">
      <c r="A61" s="1" t="s">
        <v>236</v>
      </c>
      <c r="B61" s="1" t="s">
        <v>237</v>
      </c>
      <c r="C61" s="1" t="s">
        <v>238</v>
      </c>
      <c r="D61" s="1" t="s">
        <v>239</v>
      </c>
      <c r="E61" s="1" t="s">
        <v>61</v>
      </c>
      <c r="F61" s="1" t="s">
        <v>120</v>
      </c>
      <c r="G61" s="1" t="s">
        <v>90</v>
      </c>
      <c r="H61" s="1">
        <v>8</v>
      </c>
      <c r="I61" s="1">
        <v>2667.04</v>
      </c>
      <c r="J61" s="1">
        <v>1697.18</v>
      </c>
      <c r="K61" s="1">
        <v>0</v>
      </c>
      <c r="L61" s="1" t="s">
        <v>136</v>
      </c>
    </row>
    <row r="62" ht="15" customHeight="1" spans="1:12">
      <c r="A62" s="1" t="s">
        <v>240</v>
      </c>
      <c r="B62" s="1" t="s">
        <v>241</v>
      </c>
      <c r="C62" s="1" t="s">
        <v>242</v>
      </c>
      <c r="D62" s="1" t="s">
        <v>54</v>
      </c>
      <c r="E62" s="1" t="s">
        <v>24</v>
      </c>
      <c r="F62" s="1" t="s">
        <v>116</v>
      </c>
      <c r="G62" s="1" t="s">
        <v>18</v>
      </c>
      <c r="H62" s="1">
        <v>5</v>
      </c>
      <c r="I62" s="1">
        <v>3233.29</v>
      </c>
      <c r="J62" s="1">
        <v>1766.48</v>
      </c>
      <c r="K62" s="1">
        <v>0.15</v>
      </c>
      <c r="L62" s="1" t="s">
        <v>50</v>
      </c>
    </row>
    <row r="63" ht="15" customHeight="1" spans="1:12">
      <c r="A63" s="1" t="s">
        <v>243</v>
      </c>
      <c r="B63" s="1" t="s">
        <v>244</v>
      </c>
      <c r="C63" s="1" t="s">
        <v>245</v>
      </c>
      <c r="D63" s="1" t="s">
        <v>41</v>
      </c>
      <c r="E63" s="1" t="s">
        <v>42</v>
      </c>
      <c r="F63" s="1" t="s">
        <v>43</v>
      </c>
      <c r="G63" s="1" t="s">
        <v>112</v>
      </c>
      <c r="H63" s="1">
        <v>6</v>
      </c>
      <c r="I63" s="1">
        <v>4187.87</v>
      </c>
      <c r="J63" s="1">
        <v>2092.61</v>
      </c>
      <c r="K63" s="1">
        <v>0.15</v>
      </c>
      <c r="L63" s="1" t="s">
        <v>44</v>
      </c>
    </row>
    <row r="64" ht="15" customHeight="1" spans="1:12">
      <c r="A64" s="1" t="s">
        <v>246</v>
      </c>
      <c r="B64" s="1" t="s">
        <v>247</v>
      </c>
      <c r="C64" s="1" t="s">
        <v>248</v>
      </c>
      <c r="D64" s="1" t="s">
        <v>23</v>
      </c>
      <c r="E64" s="1" t="s">
        <v>55</v>
      </c>
      <c r="F64" s="1" t="s">
        <v>56</v>
      </c>
      <c r="G64" s="1" t="s">
        <v>38</v>
      </c>
      <c r="H64" s="1">
        <v>9</v>
      </c>
      <c r="I64" s="1">
        <v>2938.91</v>
      </c>
      <c r="J64" s="1">
        <v>1667.84</v>
      </c>
      <c r="K64" s="1">
        <v>0.05</v>
      </c>
      <c r="L64" s="1" t="s">
        <v>136</v>
      </c>
    </row>
    <row r="65" ht="15" customHeight="1" spans="1:12">
      <c r="A65" s="1" t="s">
        <v>249</v>
      </c>
      <c r="B65" s="1" t="s">
        <v>250</v>
      </c>
      <c r="C65" s="1" t="s">
        <v>251</v>
      </c>
      <c r="D65" s="1" t="s">
        <v>80</v>
      </c>
      <c r="E65" s="1" t="s">
        <v>61</v>
      </c>
      <c r="F65" s="1" t="s">
        <v>120</v>
      </c>
      <c r="G65" s="1" t="s">
        <v>90</v>
      </c>
      <c r="H65" s="1">
        <v>-5</v>
      </c>
      <c r="I65" s="1">
        <v>2997.27</v>
      </c>
      <c r="J65" s="1">
        <v>1803.77</v>
      </c>
      <c r="K65" s="1">
        <v>0.2</v>
      </c>
      <c r="L65" s="1" t="s">
        <v>136</v>
      </c>
    </row>
    <row r="66" ht="15" customHeight="1" spans="1:12">
      <c r="A66" s="1" t="s">
        <v>252</v>
      </c>
      <c r="B66" s="1" t="s">
        <v>253</v>
      </c>
      <c r="C66" s="1" t="s">
        <v>254</v>
      </c>
      <c r="D66" s="1" t="s">
        <v>41</v>
      </c>
      <c r="E66" s="1" t="s">
        <v>42</v>
      </c>
      <c r="F66" s="1" t="s">
        <v>85</v>
      </c>
      <c r="G66" s="1" t="s">
        <v>57</v>
      </c>
      <c r="H66" s="1">
        <v>11</v>
      </c>
      <c r="I66" s="1">
        <v>4866.51</v>
      </c>
      <c r="J66" s="1">
        <v>2058.24</v>
      </c>
      <c r="K66" s="1">
        <v>0.1</v>
      </c>
      <c r="L66" s="1" t="s">
        <v>26</v>
      </c>
    </row>
    <row r="67" ht="15" customHeight="1" spans="1:12">
      <c r="A67" s="1" t="s">
        <v>255</v>
      </c>
      <c r="B67" s="1" t="s">
        <v>253</v>
      </c>
      <c r="C67" s="1" t="s">
        <v>256</v>
      </c>
      <c r="D67" s="1" t="s">
        <v>48</v>
      </c>
      <c r="E67" s="1" t="s">
        <v>16</v>
      </c>
      <c r="F67" s="1" t="s">
        <v>102</v>
      </c>
      <c r="G67" s="1" t="s">
        <v>57</v>
      </c>
      <c r="H67" s="1">
        <v>7</v>
      </c>
      <c r="J67" s="1">
        <v>1317.94</v>
      </c>
      <c r="K67" s="1">
        <v>0</v>
      </c>
      <c r="L67" s="1" t="s">
        <v>44</v>
      </c>
    </row>
    <row r="68" ht="15" customHeight="1" spans="1:12">
      <c r="A68" s="1" t="s">
        <v>257</v>
      </c>
      <c r="B68" s="1" t="s">
        <v>258</v>
      </c>
      <c r="C68" s="1" t="s">
        <v>259</v>
      </c>
      <c r="D68" s="1" t="s">
        <v>41</v>
      </c>
      <c r="E68" s="1" t="s">
        <v>61</v>
      </c>
      <c r="F68" s="1" t="s">
        <v>62</v>
      </c>
      <c r="G68" s="1" t="s">
        <v>31</v>
      </c>
      <c r="H68" s="1">
        <v>5</v>
      </c>
      <c r="I68" s="1">
        <v>1841.18</v>
      </c>
      <c r="J68" s="1">
        <v>740.03</v>
      </c>
      <c r="K68" s="1">
        <v>0.15</v>
      </c>
      <c r="L68" s="1" t="s">
        <v>26</v>
      </c>
    </row>
    <row r="69" ht="15" customHeight="1" spans="1:12">
      <c r="A69" s="1" t="s">
        <v>260</v>
      </c>
      <c r="B69" s="1" t="s">
        <v>148</v>
      </c>
      <c r="C69" s="1" t="s">
        <v>261</v>
      </c>
      <c r="D69" s="1" t="s">
        <v>30</v>
      </c>
      <c r="E69" s="1" t="s">
        <v>16</v>
      </c>
      <c r="F69" s="1" t="s">
        <v>102</v>
      </c>
      <c r="G69" s="1" t="s">
        <v>112</v>
      </c>
      <c r="H69" s="1">
        <v>10</v>
      </c>
      <c r="I69" s="1">
        <v>2199.79</v>
      </c>
      <c r="J69" s="1">
        <v>1231.96</v>
      </c>
      <c r="K69" s="1">
        <v>0</v>
      </c>
      <c r="L69" s="1" t="s">
        <v>44</v>
      </c>
    </row>
    <row r="70" ht="15" customHeight="1" spans="1:12">
      <c r="A70" s="1" t="s">
        <v>262</v>
      </c>
      <c r="B70" s="1" t="s">
        <v>263</v>
      </c>
      <c r="C70" s="1" t="s">
        <v>264</v>
      </c>
      <c r="D70" s="1" t="s">
        <v>80</v>
      </c>
      <c r="E70" s="1" t="s">
        <v>16</v>
      </c>
      <c r="F70" s="1" t="s">
        <v>49</v>
      </c>
      <c r="G70" s="1" t="s">
        <v>57</v>
      </c>
      <c r="H70" s="1">
        <v>6</v>
      </c>
      <c r="I70" s="1">
        <v>1340.39</v>
      </c>
      <c r="J70" s="1">
        <v>797.24</v>
      </c>
      <c r="K70" s="1">
        <v>0</v>
      </c>
      <c r="L70" s="1" t="s">
        <v>50</v>
      </c>
    </row>
    <row r="71" ht="15" customHeight="1" spans="1:12">
      <c r="A71" s="1" t="s">
        <v>265</v>
      </c>
      <c r="B71" s="1" t="s">
        <v>266</v>
      </c>
      <c r="C71" s="1" t="s">
        <v>267</v>
      </c>
      <c r="D71" s="1" t="s">
        <v>41</v>
      </c>
      <c r="E71" s="1" t="s">
        <v>55</v>
      </c>
      <c r="F71" s="1" t="s">
        <v>154</v>
      </c>
      <c r="G71" s="1" t="s">
        <v>57</v>
      </c>
      <c r="H71" s="1">
        <v>8</v>
      </c>
      <c r="I71" s="1">
        <v>2479.58</v>
      </c>
      <c r="J71" s="1">
        <v>1341.29</v>
      </c>
      <c r="K71" s="1">
        <v>0.1</v>
      </c>
      <c r="L71" s="1" t="s">
        <v>136</v>
      </c>
    </row>
    <row r="72" ht="15" customHeight="1" spans="1:12">
      <c r="A72" s="1" t="s">
        <v>268</v>
      </c>
      <c r="B72" s="1" t="s">
        <v>269</v>
      </c>
      <c r="C72" s="1" t="s">
        <v>139</v>
      </c>
      <c r="D72" s="1" t="s">
        <v>54</v>
      </c>
      <c r="E72" s="1" t="s">
        <v>61</v>
      </c>
      <c r="F72" s="1" t="s">
        <v>120</v>
      </c>
      <c r="G72" s="1" t="s">
        <v>31</v>
      </c>
      <c r="H72" s="1">
        <v>8</v>
      </c>
      <c r="I72" s="1">
        <v>2423</v>
      </c>
      <c r="J72" s="1">
        <v>1003.66</v>
      </c>
      <c r="K72" s="1">
        <v>0.2</v>
      </c>
      <c r="L72" s="1" t="s">
        <v>19</v>
      </c>
    </row>
    <row r="73" ht="15" customHeight="1" spans="1:12">
      <c r="A73" s="1" t="s">
        <v>270</v>
      </c>
      <c r="B73" s="1" t="s">
        <v>271</v>
      </c>
      <c r="C73" s="1" t="s">
        <v>272</v>
      </c>
      <c r="D73" s="1" t="s">
        <v>48</v>
      </c>
      <c r="E73" s="1" t="s">
        <v>61</v>
      </c>
      <c r="F73" s="1" t="s">
        <v>120</v>
      </c>
      <c r="G73" s="1" t="s">
        <v>38</v>
      </c>
      <c r="H73" s="1">
        <v>3</v>
      </c>
      <c r="I73" s="1">
        <v>4800.3</v>
      </c>
      <c r="J73" s="1">
        <v>2460.78</v>
      </c>
      <c r="K73" s="1">
        <v>0.2</v>
      </c>
      <c r="L73" s="1" t="s">
        <v>136</v>
      </c>
    </row>
    <row r="74" ht="15" customHeight="1" spans="1:12">
      <c r="A74" s="1" t="s">
        <v>273</v>
      </c>
      <c r="B74" s="1" t="s">
        <v>274</v>
      </c>
      <c r="C74" s="1" t="s">
        <v>275</v>
      </c>
      <c r="D74" s="1" t="s">
        <v>54</v>
      </c>
      <c r="E74" s="1" t="s">
        <v>61</v>
      </c>
      <c r="F74" s="1" t="s">
        <v>120</v>
      </c>
      <c r="G74" s="1" t="s">
        <v>57</v>
      </c>
      <c r="H74" s="1">
        <v>11</v>
      </c>
      <c r="I74" s="1">
        <v>1871.85</v>
      </c>
      <c r="J74" s="1">
        <v>903.02</v>
      </c>
      <c r="K74" s="1">
        <v>0.1</v>
      </c>
      <c r="L74" s="1" t="s">
        <v>136</v>
      </c>
    </row>
    <row r="75" ht="15" customHeight="1" spans="1:12">
      <c r="A75" s="1" t="s">
        <v>276</v>
      </c>
      <c r="B75" s="1" t="s">
        <v>277</v>
      </c>
      <c r="C75" s="1" t="s">
        <v>278</v>
      </c>
      <c r="D75" s="1" t="s">
        <v>30</v>
      </c>
      <c r="E75" s="1" t="s">
        <v>42</v>
      </c>
      <c r="F75" s="1" t="s">
        <v>158</v>
      </c>
      <c r="G75" s="1" t="s">
        <v>57</v>
      </c>
      <c r="H75" s="1">
        <v>2</v>
      </c>
      <c r="I75" s="1">
        <v>1754.03</v>
      </c>
      <c r="J75" s="1">
        <v>866.79</v>
      </c>
      <c r="K75" s="1">
        <v>0.2</v>
      </c>
      <c r="L75" s="1" t="s">
        <v>136</v>
      </c>
    </row>
    <row r="76" ht="15" customHeight="1" spans="1:12">
      <c r="A76" s="1" t="s">
        <v>279</v>
      </c>
      <c r="B76" s="1" t="s">
        <v>280</v>
      </c>
      <c r="C76" s="1" t="s">
        <v>281</v>
      </c>
      <c r="D76" s="1" t="s">
        <v>48</v>
      </c>
      <c r="E76" s="1" t="s">
        <v>171</v>
      </c>
      <c r="F76" s="1" t="s">
        <v>66</v>
      </c>
      <c r="G76" s="1" t="s">
        <v>18</v>
      </c>
      <c r="H76" s="1">
        <v>4</v>
      </c>
      <c r="I76" s="1">
        <v>4998.89</v>
      </c>
      <c r="J76" s="1">
        <v>2193.19</v>
      </c>
      <c r="K76" s="1">
        <v>0</v>
      </c>
      <c r="L76" s="1" t="s">
        <v>50</v>
      </c>
    </row>
    <row r="77" ht="15" customHeight="1" spans="1:12">
      <c r="A77" s="1" t="s">
        <v>282</v>
      </c>
      <c r="B77" s="1" t="s">
        <v>283</v>
      </c>
      <c r="C77" s="1" t="s">
        <v>284</v>
      </c>
      <c r="D77" s="1" t="s">
        <v>48</v>
      </c>
      <c r="E77" s="1" t="s">
        <v>24</v>
      </c>
      <c r="F77" s="1" t="s">
        <v>116</v>
      </c>
      <c r="G77" s="1" t="s">
        <v>90</v>
      </c>
      <c r="H77" s="1">
        <v>7</v>
      </c>
      <c r="I77" s="1">
        <v>2011.21</v>
      </c>
      <c r="J77" s="1">
        <v>1166.29</v>
      </c>
      <c r="K77" s="1">
        <v>0.05</v>
      </c>
      <c r="L77" s="1" t="s">
        <v>50</v>
      </c>
    </row>
    <row r="78" ht="15" customHeight="1" spans="1:12">
      <c r="A78" s="1" t="s">
        <v>285</v>
      </c>
      <c r="B78" s="1" t="s">
        <v>182</v>
      </c>
      <c r="C78" s="1" t="s">
        <v>286</v>
      </c>
      <c r="D78" s="1" t="s">
        <v>30</v>
      </c>
      <c r="E78" s="1" t="s">
        <v>145</v>
      </c>
      <c r="F78" s="1" t="s">
        <v>89</v>
      </c>
      <c r="G78" s="1" t="s">
        <v>112</v>
      </c>
      <c r="H78" s="1">
        <v>3</v>
      </c>
      <c r="I78" s="1">
        <v>4138.39</v>
      </c>
      <c r="J78" s="1">
        <v>2484.34</v>
      </c>
      <c r="K78" s="1">
        <v>0</v>
      </c>
      <c r="L78" s="1" t="s">
        <v>26</v>
      </c>
    </row>
    <row r="79" ht="15" customHeight="1" spans="1:12">
      <c r="A79" s="1" t="s">
        <v>287</v>
      </c>
      <c r="B79" s="1" t="s">
        <v>288</v>
      </c>
      <c r="C79" s="1" t="s">
        <v>289</v>
      </c>
      <c r="D79" s="1" t="s">
        <v>54</v>
      </c>
      <c r="E79" s="1" t="s">
        <v>55</v>
      </c>
      <c r="F79" s="1" t="s">
        <v>141</v>
      </c>
      <c r="G79" s="1" t="s">
        <v>18</v>
      </c>
      <c r="H79" s="1">
        <v>8</v>
      </c>
      <c r="I79" s="1">
        <v>4456.76</v>
      </c>
      <c r="J79" s="1">
        <v>2819.43</v>
      </c>
      <c r="K79" s="1">
        <v>0.05</v>
      </c>
      <c r="L79" s="1" t="s">
        <v>44</v>
      </c>
    </row>
    <row r="80" ht="15" customHeight="1" spans="1:12">
      <c r="A80" s="1" t="s">
        <v>290</v>
      </c>
      <c r="B80" s="1" t="s">
        <v>291</v>
      </c>
      <c r="C80" s="1" t="s">
        <v>292</v>
      </c>
      <c r="D80" s="1" t="s">
        <v>41</v>
      </c>
      <c r="E80" s="1" t="s">
        <v>61</v>
      </c>
      <c r="F80" s="1" t="s">
        <v>106</v>
      </c>
      <c r="G80" s="1" t="s">
        <v>57</v>
      </c>
      <c r="H80" s="1">
        <v>8</v>
      </c>
      <c r="I80" s="1">
        <v>2407.43</v>
      </c>
      <c r="J80" s="1">
        <v>966.13</v>
      </c>
      <c r="K80" s="1">
        <v>0</v>
      </c>
      <c r="L80" s="1" t="s">
        <v>32</v>
      </c>
    </row>
    <row r="81" ht="15" customHeight="1" spans="1:12">
      <c r="A81" s="1" t="s">
        <v>293</v>
      </c>
      <c r="B81" s="1" t="s">
        <v>294</v>
      </c>
      <c r="C81" s="1" t="s">
        <v>295</v>
      </c>
      <c r="D81" s="1" t="s">
        <v>23</v>
      </c>
      <c r="E81" s="1" t="s">
        <v>42</v>
      </c>
      <c r="F81" s="1" t="s">
        <v>85</v>
      </c>
      <c r="G81" s="1" t="s">
        <v>112</v>
      </c>
      <c r="H81" s="1">
        <v>10</v>
      </c>
      <c r="I81" s="1">
        <v>2818.45</v>
      </c>
      <c r="J81" s="1">
        <v>1572.66</v>
      </c>
      <c r="K81" s="1">
        <v>0.1</v>
      </c>
      <c r="L81" s="1" t="s">
        <v>26</v>
      </c>
    </row>
    <row r="82" ht="15" customHeight="1" spans="1:12">
      <c r="A82" s="1" t="s">
        <v>296</v>
      </c>
      <c r="B82" s="1" t="s">
        <v>297</v>
      </c>
      <c r="C82" s="1" t="s">
        <v>298</v>
      </c>
      <c r="D82" s="1" t="s">
        <v>299</v>
      </c>
      <c r="E82" s="1" t="s">
        <v>24</v>
      </c>
      <c r="F82" s="1" t="s">
        <v>131</v>
      </c>
      <c r="G82" s="1" t="s">
        <v>38</v>
      </c>
      <c r="H82" s="1">
        <v>1</v>
      </c>
      <c r="I82" s="1">
        <v>2134.13</v>
      </c>
      <c r="J82" s="1">
        <v>1104.48</v>
      </c>
      <c r="K82" s="1">
        <v>0.15</v>
      </c>
      <c r="L82" s="1" t="s">
        <v>136</v>
      </c>
    </row>
    <row r="83" ht="15" customHeight="1" spans="1:12">
      <c r="A83" s="1" t="s">
        <v>300</v>
      </c>
      <c r="B83" s="1" t="s">
        <v>301</v>
      </c>
      <c r="C83" s="1" t="s">
        <v>302</v>
      </c>
      <c r="D83" s="1" t="s">
        <v>299</v>
      </c>
      <c r="E83" s="1" t="s">
        <v>16</v>
      </c>
      <c r="F83" s="1" t="s">
        <v>102</v>
      </c>
      <c r="G83" s="1" t="s">
        <v>31</v>
      </c>
      <c r="H83" s="1">
        <v>11</v>
      </c>
      <c r="I83" s="1">
        <v>1121.92</v>
      </c>
      <c r="J83" s="1">
        <v>667.3</v>
      </c>
      <c r="K83" s="1">
        <v>0.05</v>
      </c>
      <c r="L83" s="1" t="s">
        <v>32</v>
      </c>
    </row>
    <row r="84" ht="15" customHeight="1" spans="1:12">
      <c r="A84" s="1" t="s">
        <v>303</v>
      </c>
      <c r="B84" s="1" t="s">
        <v>304</v>
      </c>
      <c r="C84" s="1" t="s">
        <v>305</v>
      </c>
      <c r="D84" s="1" t="s">
        <v>239</v>
      </c>
      <c r="E84" s="1" t="s">
        <v>24</v>
      </c>
      <c r="F84" s="1" t="s">
        <v>124</v>
      </c>
      <c r="G84" s="1" t="s">
        <v>112</v>
      </c>
      <c r="H84" s="1">
        <v>5</v>
      </c>
      <c r="I84" s="1">
        <v>471.12</v>
      </c>
      <c r="J84" s="1">
        <v>264.64</v>
      </c>
      <c r="K84" s="1">
        <v>0</v>
      </c>
      <c r="L84" s="1" t="s">
        <v>136</v>
      </c>
    </row>
    <row r="85" ht="15" customHeight="1" spans="1:12">
      <c r="A85" s="1" t="s">
        <v>306</v>
      </c>
      <c r="B85" s="1" t="s">
        <v>307</v>
      </c>
      <c r="C85" s="1" t="s">
        <v>308</v>
      </c>
      <c r="D85" s="1" t="s">
        <v>299</v>
      </c>
      <c r="E85" s="1" t="s">
        <v>42</v>
      </c>
      <c r="F85" s="1" t="s">
        <v>146</v>
      </c>
      <c r="G85" s="1" t="s">
        <v>31</v>
      </c>
      <c r="H85" s="1">
        <v>2</v>
      </c>
      <c r="I85" s="1">
        <v>3716.28</v>
      </c>
      <c r="J85" s="1">
        <v>1559.84</v>
      </c>
      <c r="K85" s="1">
        <v>0.1</v>
      </c>
      <c r="L85" s="1" t="s">
        <v>44</v>
      </c>
    </row>
    <row r="86" ht="15" customHeight="1" spans="1:12">
      <c r="A86" s="1" t="s">
        <v>309</v>
      </c>
      <c r="B86" s="1" t="s">
        <v>310</v>
      </c>
      <c r="C86" s="1" t="s">
        <v>311</v>
      </c>
      <c r="D86" s="1" t="s">
        <v>48</v>
      </c>
      <c r="E86" s="1" t="s">
        <v>110</v>
      </c>
      <c r="F86" s="1" t="s">
        <v>120</v>
      </c>
      <c r="G86" s="1" t="s">
        <v>31</v>
      </c>
      <c r="H86" s="1">
        <v>11</v>
      </c>
      <c r="I86" s="1">
        <v>4905.13</v>
      </c>
      <c r="J86" s="1">
        <v>3124.45</v>
      </c>
      <c r="K86" s="1">
        <v>0</v>
      </c>
      <c r="L86" s="1" t="s">
        <v>136</v>
      </c>
    </row>
    <row r="87" ht="15" customHeight="1" spans="1:12">
      <c r="A87" s="1" t="s">
        <v>312</v>
      </c>
      <c r="B87" s="1" t="s">
        <v>313</v>
      </c>
      <c r="C87" s="1" t="s">
        <v>314</v>
      </c>
      <c r="D87" s="1" t="s">
        <v>54</v>
      </c>
      <c r="E87" s="1" t="s">
        <v>42</v>
      </c>
      <c r="F87" s="1" t="s">
        <v>89</v>
      </c>
      <c r="G87" s="1" t="s">
        <v>38</v>
      </c>
      <c r="H87" s="1">
        <v>3</v>
      </c>
      <c r="I87" s="1">
        <v>3490.59</v>
      </c>
      <c r="J87" s="1">
        <v>2224.22</v>
      </c>
      <c r="K87" s="1">
        <v>0</v>
      </c>
      <c r="L87" s="1" t="s">
        <v>32</v>
      </c>
    </row>
    <row r="88" ht="15" customHeight="1" spans="1:12">
      <c r="A88" s="1" t="s">
        <v>315</v>
      </c>
      <c r="B88" s="1" t="s">
        <v>316</v>
      </c>
      <c r="C88" s="1" t="s">
        <v>317</v>
      </c>
      <c r="D88" s="1" t="s">
        <v>48</v>
      </c>
      <c r="E88" s="1" t="s">
        <v>61</v>
      </c>
      <c r="F88" s="1" t="s">
        <v>111</v>
      </c>
      <c r="G88" s="1" t="s">
        <v>18</v>
      </c>
      <c r="H88" s="1">
        <v>10</v>
      </c>
      <c r="I88" s="1">
        <v>1641.21</v>
      </c>
      <c r="J88" s="1">
        <v>1032.52</v>
      </c>
      <c r="K88" s="1">
        <v>0.05</v>
      </c>
      <c r="L88" s="1" t="s">
        <v>19</v>
      </c>
    </row>
    <row r="89" ht="15" customHeight="1" spans="1:12">
      <c r="A89" s="1" t="s">
        <v>318</v>
      </c>
      <c r="B89" s="1" t="s">
        <v>319</v>
      </c>
      <c r="C89" s="1" t="s">
        <v>320</v>
      </c>
      <c r="D89" s="1" t="s">
        <v>80</v>
      </c>
      <c r="E89" s="1" t="s">
        <v>24</v>
      </c>
      <c r="F89" s="1" t="s">
        <v>25</v>
      </c>
      <c r="G89" s="1" t="s">
        <v>18</v>
      </c>
      <c r="H89" s="1">
        <v>12</v>
      </c>
      <c r="I89" s="1">
        <v>3633.95</v>
      </c>
      <c r="J89" s="1">
        <v>2089.72</v>
      </c>
      <c r="K89" s="1">
        <v>0</v>
      </c>
      <c r="L89" s="1" t="s">
        <v>19</v>
      </c>
    </row>
    <row r="90" ht="15" customHeight="1" spans="1:12">
      <c r="A90" s="1" t="s">
        <v>321</v>
      </c>
      <c r="B90" s="1" t="s">
        <v>322</v>
      </c>
      <c r="C90" s="1" t="s">
        <v>323</v>
      </c>
      <c r="D90" s="1" t="s">
        <v>80</v>
      </c>
      <c r="E90" s="1" t="s">
        <v>16</v>
      </c>
      <c r="F90" s="1" t="s">
        <v>17</v>
      </c>
      <c r="G90" s="1" t="s">
        <v>112</v>
      </c>
      <c r="H90" s="1">
        <v>12</v>
      </c>
      <c r="I90" s="1">
        <v>3677.69</v>
      </c>
      <c r="J90" s="1">
        <v>1954.41</v>
      </c>
      <c r="K90" s="1">
        <v>0.2</v>
      </c>
      <c r="L90" s="1" t="s">
        <v>32</v>
      </c>
    </row>
    <row r="91" ht="15" customHeight="1" spans="1:12">
      <c r="A91" s="1" t="s">
        <v>324</v>
      </c>
      <c r="B91" s="1" t="s">
        <v>325</v>
      </c>
      <c r="C91" s="1" t="s">
        <v>326</v>
      </c>
      <c r="D91" s="1" t="s">
        <v>30</v>
      </c>
      <c r="E91" s="1" t="s">
        <v>55</v>
      </c>
      <c r="F91" s="1" t="s">
        <v>141</v>
      </c>
      <c r="G91" s="1" t="s">
        <v>90</v>
      </c>
      <c r="H91" s="1">
        <v>2</v>
      </c>
      <c r="I91" s="1">
        <v>2734.08</v>
      </c>
      <c r="J91" s="1">
        <v>1301.51</v>
      </c>
      <c r="K91" s="1">
        <v>0</v>
      </c>
      <c r="L91" s="1" t="s">
        <v>50</v>
      </c>
    </row>
    <row r="92" ht="15" customHeight="1" spans="1:12">
      <c r="A92" s="1" t="s">
        <v>327</v>
      </c>
      <c r="B92" s="1" t="s">
        <v>328</v>
      </c>
      <c r="C92" s="1" t="s">
        <v>329</v>
      </c>
      <c r="D92" s="1" t="s">
        <v>299</v>
      </c>
      <c r="E92" s="1" t="s">
        <v>55</v>
      </c>
      <c r="F92" s="1" t="s">
        <v>56</v>
      </c>
      <c r="G92" s="1" t="s">
        <v>18</v>
      </c>
      <c r="H92" s="1">
        <v>3</v>
      </c>
      <c r="I92" s="1">
        <v>3395.04</v>
      </c>
      <c r="J92" s="1">
        <v>1969.66</v>
      </c>
      <c r="K92" s="1">
        <v>0.1</v>
      </c>
      <c r="L92" s="1" t="s">
        <v>19</v>
      </c>
    </row>
    <row r="93" ht="15" customHeight="1" spans="1:12">
      <c r="A93" s="1" t="s">
        <v>330</v>
      </c>
      <c r="B93" s="1" t="s">
        <v>331</v>
      </c>
      <c r="C93" s="1" t="s">
        <v>332</v>
      </c>
      <c r="D93" s="1" t="s">
        <v>80</v>
      </c>
      <c r="E93" s="1" t="s">
        <v>24</v>
      </c>
      <c r="F93" s="1" t="s">
        <v>25</v>
      </c>
      <c r="G93" s="1" t="s">
        <v>112</v>
      </c>
      <c r="H93" s="1">
        <v>4</v>
      </c>
      <c r="I93" s="1">
        <v>4081.03</v>
      </c>
      <c r="J93" s="1">
        <v>2331.28</v>
      </c>
      <c r="K93" s="1">
        <v>0</v>
      </c>
      <c r="L93" s="1" t="s">
        <v>19</v>
      </c>
    </row>
    <row r="94" ht="15" customHeight="1" spans="1:12">
      <c r="A94" s="1" t="s">
        <v>333</v>
      </c>
      <c r="B94" s="1" t="s">
        <v>334</v>
      </c>
      <c r="C94" s="1" t="s">
        <v>284</v>
      </c>
      <c r="D94" s="1" t="s">
        <v>15</v>
      </c>
      <c r="E94" s="1" t="s">
        <v>42</v>
      </c>
      <c r="F94" s="1" t="s">
        <v>158</v>
      </c>
      <c r="G94" s="1" t="s">
        <v>38</v>
      </c>
      <c r="H94" s="1">
        <v>9</v>
      </c>
      <c r="I94" s="1">
        <v>798.06</v>
      </c>
      <c r="J94" s="1">
        <v>367.45</v>
      </c>
      <c r="K94" s="1">
        <v>0</v>
      </c>
      <c r="L94" s="1" t="s">
        <v>32</v>
      </c>
    </row>
    <row r="95" ht="15" customHeight="1" spans="1:12">
      <c r="A95" s="1" t="s">
        <v>335</v>
      </c>
      <c r="B95" s="1" t="s">
        <v>336</v>
      </c>
      <c r="D95" s="1" t="s">
        <v>41</v>
      </c>
      <c r="E95" s="1" t="s">
        <v>24</v>
      </c>
      <c r="F95" s="1" t="s">
        <v>25</v>
      </c>
      <c r="G95" s="1" t="s">
        <v>18</v>
      </c>
      <c r="H95" s="1">
        <v>8</v>
      </c>
      <c r="I95" s="1">
        <v>4980.06</v>
      </c>
      <c r="J95" s="1">
        <v>2573.22</v>
      </c>
      <c r="K95" s="1">
        <v>0</v>
      </c>
      <c r="L95" s="1" t="s">
        <v>26</v>
      </c>
    </row>
    <row r="96" ht="15" customHeight="1" spans="1:12">
      <c r="A96" s="1" t="s">
        <v>337</v>
      </c>
      <c r="B96" s="1" t="s">
        <v>338</v>
      </c>
      <c r="C96" s="1" t="s">
        <v>339</v>
      </c>
      <c r="D96" s="1" t="s">
        <v>23</v>
      </c>
      <c r="E96" s="1" t="s">
        <v>24</v>
      </c>
      <c r="F96" s="1" t="s">
        <v>235</v>
      </c>
      <c r="G96" s="1" t="s">
        <v>112</v>
      </c>
      <c r="H96" s="1">
        <v>3</v>
      </c>
      <c r="I96" s="1">
        <v>4446.54</v>
      </c>
      <c r="J96" s="1">
        <v>2587.34</v>
      </c>
      <c r="K96" s="1">
        <v>0.2</v>
      </c>
      <c r="L96" s="1" t="s">
        <v>26</v>
      </c>
    </row>
    <row r="97" ht="15" customHeight="1" spans="1:12">
      <c r="A97" s="1" t="s">
        <v>340</v>
      </c>
      <c r="B97" s="1" t="s">
        <v>341</v>
      </c>
      <c r="C97" s="1" t="s">
        <v>342</v>
      </c>
      <c r="D97" s="1" t="s">
        <v>54</v>
      </c>
      <c r="E97" s="1" t="s">
        <v>343</v>
      </c>
      <c r="F97" s="1" t="s">
        <v>131</v>
      </c>
      <c r="G97" s="1" t="s">
        <v>18</v>
      </c>
      <c r="H97" s="1">
        <v>2</v>
      </c>
      <c r="I97" s="1">
        <v>2150.35</v>
      </c>
      <c r="J97" s="1">
        <v>1287.47</v>
      </c>
      <c r="K97" s="1">
        <v>0</v>
      </c>
      <c r="L97" s="1" t="s">
        <v>50</v>
      </c>
    </row>
    <row r="98" ht="15" customHeight="1" spans="1:12">
      <c r="A98" s="1" t="s">
        <v>344</v>
      </c>
      <c r="B98" s="1" t="s">
        <v>21</v>
      </c>
      <c r="C98" s="1" t="s">
        <v>345</v>
      </c>
      <c r="D98" s="1" t="s">
        <v>80</v>
      </c>
      <c r="E98" s="1" t="s">
        <v>61</v>
      </c>
      <c r="F98" s="1" t="s">
        <v>120</v>
      </c>
      <c r="G98" s="1" t="s">
        <v>18</v>
      </c>
      <c r="H98" s="1">
        <v>7</v>
      </c>
      <c r="I98" s="1">
        <v>4954.89</v>
      </c>
      <c r="J98" s="1">
        <v>2897.77</v>
      </c>
      <c r="K98" s="1">
        <v>0</v>
      </c>
      <c r="L98" s="1" t="s">
        <v>50</v>
      </c>
    </row>
    <row r="99" ht="15" customHeight="1" spans="1:12">
      <c r="A99" s="1" t="s">
        <v>346</v>
      </c>
      <c r="B99" s="1" t="s">
        <v>28</v>
      </c>
      <c r="C99" s="1" t="s">
        <v>347</v>
      </c>
      <c r="D99" s="1" t="s">
        <v>48</v>
      </c>
      <c r="E99" s="1" t="s">
        <v>16</v>
      </c>
      <c r="F99" s="1" t="s">
        <v>37</v>
      </c>
      <c r="G99" s="1" t="s">
        <v>31</v>
      </c>
      <c r="H99" s="1">
        <v>11</v>
      </c>
      <c r="I99" s="1">
        <v>3978.65</v>
      </c>
      <c r="J99" s="1">
        <v>2363.48</v>
      </c>
      <c r="K99" s="1">
        <v>0.1</v>
      </c>
      <c r="L99" s="1" t="s">
        <v>26</v>
      </c>
    </row>
    <row r="100" ht="15" customHeight="1" spans="1:12">
      <c r="A100" s="1" t="s">
        <v>348</v>
      </c>
      <c r="B100" s="1" t="s">
        <v>349</v>
      </c>
      <c r="C100" s="1" t="s">
        <v>350</v>
      </c>
      <c r="D100" s="1" t="s">
        <v>80</v>
      </c>
      <c r="E100" s="1" t="s">
        <v>16</v>
      </c>
      <c r="F100" s="1" t="s">
        <v>49</v>
      </c>
      <c r="G100" s="1" t="s">
        <v>112</v>
      </c>
      <c r="H100" s="1">
        <v>3</v>
      </c>
      <c r="I100" s="1">
        <v>2239.91</v>
      </c>
      <c r="J100" s="1">
        <v>1010.14</v>
      </c>
      <c r="K100" s="1">
        <v>0.1</v>
      </c>
      <c r="L100" s="1" t="s">
        <v>32</v>
      </c>
    </row>
    <row r="101" ht="15" customHeight="1" spans="1:12">
      <c r="A101" s="1" t="s">
        <v>351</v>
      </c>
      <c r="B101" s="1" t="s">
        <v>352</v>
      </c>
      <c r="C101" s="1" t="s">
        <v>353</v>
      </c>
      <c r="D101" s="1" t="s">
        <v>48</v>
      </c>
      <c r="E101" s="1" t="s">
        <v>61</v>
      </c>
      <c r="F101" s="1" t="s">
        <v>120</v>
      </c>
      <c r="G101" s="1" t="s">
        <v>18</v>
      </c>
      <c r="H101" s="1">
        <v>4</v>
      </c>
      <c r="I101" s="1">
        <v>1610.33</v>
      </c>
      <c r="J101" s="1">
        <v>764.3</v>
      </c>
      <c r="K101" s="1">
        <v>0</v>
      </c>
      <c r="L101" s="1" t="s">
        <v>136</v>
      </c>
    </row>
    <row r="102" ht="15" customHeight="1" spans="1:12">
      <c r="A102" s="1" t="s">
        <v>354</v>
      </c>
      <c r="B102" s="1" t="s">
        <v>96</v>
      </c>
      <c r="C102" s="1" t="s">
        <v>355</v>
      </c>
      <c r="D102" s="1" t="s">
        <v>41</v>
      </c>
      <c r="E102" s="1" t="s">
        <v>42</v>
      </c>
      <c r="F102" s="1" t="s">
        <v>146</v>
      </c>
      <c r="G102" s="1" t="s">
        <v>31</v>
      </c>
      <c r="H102" s="1">
        <v>1</v>
      </c>
      <c r="I102" s="1">
        <v>1650.86</v>
      </c>
      <c r="J102" s="1">
        <v>955.08</v>
      </c>
      <c r="K102" s="1">
        <v>0</v>
      </c>
      <c r="L102" s="1" t="s">
        <v>26</v>
      </c>
    </row>
    <row r="103" ht="15" customHeight="1" spans="1:12">
      <c r="A103" s="1" t="s">
        <v>356</v>
      </c>
      <c r="B103" s="1" t="s">
        <v>216</v>
      </c>
      <c r="C103" s="1" t="s">
        <v>357</v>
      </c>
      <c r="D103" s="1" t="s">
        <v>41</v>
      </c>
      <c r="E103" s="1" t="s">
        <v>24</v>
      </c>
      <c r="F103" s="1" t="s">
        <v>116</v>
      </c>
      <c r="G103" s="1" t="s">
        <v>90</v>
      </c>
      <c r="H103" s="1">
        <v>2</v>
      </c>
      <c r="I103" s="1">
        <v>2241.52</v>
      </c>
      <c r="J103" s="1">
        <v>1298.6</v>
      </c>
      <c r="K103" s="1">
        <v>0</v>
      </c>
      <c r="L103" s="1" t="s">
        <v>32</v>
      </c>
    </row>
    <row r="104" ht="15" customHeight="1" spans="1:12">
      <c r="A104" s="1" t="s">
        <v>358</v>
      </c>
      <c r="B104" s="1" t="s">
        <v>359</v>
      </c>
      <c r="C104" s="1" t="s">
        <v>360</v>
      </c>
      <c r="D104" s="1" t="s">
        <v>41</v>
      </c>
      <c r="E104" s="1" t="s">
        <v>16</v>
      </c>
      <c r="F104" s="1" t="s">
        <v>37</v>
      </c>
      <c r="G104" s="1" t="s">
        <v>38</v>
      </c>
      <c r="I104" s="1">
        <v>3697.65</v>
      </c>
      <c r="J104" s="1">
        <v>2344.93</v>
      </c>
      <c r="K104" s="1">
        <v>0</v>
      </c>
      <c r="L104" s="1" t="s">
        <v>19</v>
      </c>
    </row>
    <row r="105" ht="15" customHeight="1" spans="1:12">
      <c r="A105" s="1" t="s">
        <v>361</v>
      </c>
      <c r="B105" s="1" t="s">
        <v>362</v>
      </c>
      <c r="C105" s="1" t="s">
        <v>363</v>
      </c>
      <c r="D105" s="1" t="s">
        <v>80</v>
      </c>
      <c r="E105" s="1" t="s">
        <v>16</v>
      </c>
      <c r="F105" s="1" t="s">
        <v>102</v>
      </c>
      <c r="G105" s="1" t="s">
        <v>112</v>
      </c>
      <c r="H105" s="1">
        <v>11</v>
      </c>
      <c r="I105" s="1">
        <v>2852.51</v>
      </c>
      <c r="J105" s="1">
        <v>1493.23</v>
      </c>
      <c r="K105" s="1">
        <v>0</v>
      </c>
      <c r="L105" s="1" t="s">
        <v>32</v>
      </c>
    </row>
    <row r="106" ht="15" customHeight="1" spans="1:12">
      <c r="A106" s="1" t="s">
        <v>364</v>
      </c>
      <c r="B106" s="1" t="s">
        <v>365</v>
      </c>
      <c r="C106" s="1" t="s">
        <v>317</v>
      </c>
      <c r="D106" s="1" t="s">
        <v>30</v>
      </c>
      <c r="E106" s="1" t="s">
        <v>171</v>
      </c>
      <c r="F106" s="1" t="s">
        <v>81</v>
      </c>
      <c r="G106" s="1" t="s">
        <v>57</v>
      </c>
      <c r="H106" s="1">
        <v>7</v>
      </c>
      <c r="I106" s="1">
        <v>4185.85</v>
      </c>
      <c r="J106" s="1">
        <v>2213.56</v>
      </c>
      <c r="K106" s="1">
        <v>0</v>
      </c>
      <c r="L106" s="1" t="s">
        <v>32</v>
      </c>
    </row>
    <row r="107" ht="15" customHeight="1" spans="1:12">
      <c r="A107" s="1" t="s">
        <v>366</v>
      </c>
      <c r="B107" s="1" t="s">
        <v>367</v>
      </c>
      <c r="C107" s="1" t="s">
        <v>220</v>
      </c>
      <c r="D107" s="1" t="s">
        <v>41</v>
      </c>
      <c r="E107" s="1" t="s">
        <v>61</v>
      </c>
      <c r="F107" s="1" t="s">
        <v>111</v>
      </c>
      <c r="G107" s="1" t="s">
        <v>90</v>
      </c>
      <c r="H107" s="1">
        <v>11</v>
      </c>
      <c r="I107" s="1">
        <v>854.66</v>
      </c>
      <c r="J107" s="1">
        <v>407.42</v>
      </c>
      <c r="K107" s="1">
        <v>0.05</v>
      </c>
      <c r="L107" s="1" t="s">
        <v>19</v>
      </c>
    </row>
    <row r="108" ht="15" customHeight="1" spans="1:12">
      <c r="A108" s="1" t="s">
        <v>368</v>
      </c>
      <c r="B108" s="1" t="s">
        <v>369</v>
      </c>
      <c r="C108" s="1" t="s">
        <v>370</v>
      </c>
      <c r="D108" s="1" t="s">
        <v>239</v>
      </c>
      <c r="E108" s="1" t="s">
        <v>24</v>
      </c>
      <c r="F108" s="1" t="s">
        <v>124</v>
      </c>
      <c r="G108" s="1" t="s">
        <v>57</v>
      </c>
      <c r="H108" s="1">
        <v>4</v>
      </c>
      <c r="I108" s="1">
        <v>3879.74</v>
      </c>
      <c r="J108" s="1">
        <v>2211.78</v>
      </c>
      <c r="K108" s="1">
        <v>0.1</v>
      </c>
      <c r="L108" s="1" t="s">
        <v>50</v>
      </c>
    </row>
    <row r="109" ht="15" customHeight="1" spans="1:12">
      <c r="A109" s="1" t="s">
        <v>371</v>
      </c>
      <c r="B109" s="1" t="s">
        <v>372</v>
      </c>
      <c r="C109" s="1" t="s">
        <v>373</v>
      </c>
      <c r="D109" s="1" t="s">
        <v>54</v>
      </c>
      <c r="E109" s="1" t="s">
        <v>343</v>
      </c>
      <c r="F109" s="1" t="s">
        <v>124</v>
      </c>
      <c r="G109" s="1" t="s">
        <v>57</v>
      </c>
      <c r="H109" s="1">
        <v>4</v>
      </c>
      <c r="I109" s="1">
        <v>3668.51</v>
      </c>
      <c r="J109" s="1">
        <v>1915.72</v>
      </c>
      <c r="K109" s="1">
        <v>0.1</v>
      </c>
      <c r="L109" s="1" t="s">
        <v>32</v>
      </c>
    </row>
    <row r="110" ht="15" customHeight="1" spans="1:12">
      <c r="A110" s="1" t="s">
        <v>374</v>
      </c>
      <c r="B110" s="1" t="s">
        <v>59</v>
      </c>
      <c r="C110" s="1" t="s">
        <v>375</v>
      </c>
      <c r="D110" s="1" t="s">
        <v>54</v>
      </c>
      <c r="E110" s="1" t="s">
        <v>24</v>
      </c>
      <c r="F110" s="1" t="s">
        <v>235</v>
      </c>
      <c r="G110" s="1" t="s">
        <v>112</v>
      </c>
      <c r="H110" s="1">
        <v>6</v>
      </c>
      <c r="I110" s="1">
        <v>3590.81</v>
      </c>
      <c r="J110" s="1">
        <v>1922.13</v>
      </c>
      <c r="K110" s="1">
        <v>0</v>
      </c>
      <c r="L110" s="1" t="s">
        <v>44</v>
      </c>
    </row>
    <row r="111" ht="15" customHeight="1" spans="1:12">
      <c r="A111" s="1" t="s">
        <v>376</v>
      </c>
      <c r="B111" s="1" t="s">
        <v>377</v>
      </c>
      <c r="C111" s="1" t="s">
        <v>317</v>
      </c>
      <c r="D111" s="1" t="s">
        <v>98</v>
      </c>
      <c r="E111" s="1" t="s">
        <v>42</v>
      </c>
      <c r="F111" s="1" t="s">
        <v>43</v>
      </c>
      <c r="G111" s="1" t="s">
        <v>57</v>
      </c>
      <c r="H111" s="1">
        <v>11</v>
      </c>
      <c r="I111" s="1">
        <v>4409.4</v>
      </c>
      <c r="J111" s="1">
        <v>1910.36</v>
      </c>
      <c r="K111" s="1">
        <v>0.2</v>
      </c>
      <c r="L111" s="1" t="s">
        <v>50</v>
      </c>
    </row>
    <row r="112" ht="15" customHeight="1" spans="1:12">
      <c r="A112" s="1" t="s">
        <v>378</v>
      </c>
      <c r="B112" s="1" t="s">
        <v>379</v>
      </c>
      <c r="C112" s="1" t="s">
        <v>380</v>
      </c>
      <c r="D112" s="1" t="s">
        <v>41</v>
      </c>
      <c r="E112" s="1" t="s">
        <v>42</v>
      </c>
      <c r="F112" s="1" t="s">
        <v>158</v>
      </c>
      <c r="G112" s="1" t="s">
        <v>112</v>
      </c>
      <c r="H112" s="1">
        <v>6</v>
      </c>
      <c r="I112" s="1">
        <v>1028.07</v>
      </c>
      <c r="J112" s="1">
        <v>459.67</v>
      </c>
      <c r="K112" s="1">
        <v>0.15</v>
      </c>
      <c r="L112" s="1" t="s">
        <v>136</v>
      </c>
    </row>
    <row r="113" ht="15" customHeight="1" spans="1:12">
      <c r="A113" s="1" t="s">
        <v>381</v>
      </c>
      <c r="B113" s="1" t="s">
        <v>207</v>
      </c>
      <c r="C113" s="1" t="s">
        <v>382</v>
      </c>
      <c r="D113" s="1" t="s">
        <v>54</v>
      </c>
      <c r="E113" s="1" t="s">
        <v>16</v>
      </c>
      <c r="F113" s="1" t="s">
        <v>174</v>
      </c>
      <c r="G113" s="1" t="s">
        <v>112</v>
      </c>
      <c r="H113" s="1">
        <v>8</v>
      </c>
      <c r="I113" s="1">
        <v>1400.39</v>
      </c>
      <c r="J113" s="1">
        <v>636.22</v>
      </c>
      <c r="K113" s="1">
        <v>0.2</v>
      </c>
      <c r="L113" s="1" t="s">
        <v>44</v>
      </c>
    </row>
    <row r="114" ht="15" customHeight="1" spans="1:12">
      <c r="A114" s="1" t="s">
        <v>383</v>
      </c>
      <c r="B114" s="1" t="s">
        <v>384</v>
      </c>
      <c r="C114" s="1" t="s">
        <v>385</v>
      </c>
      <c r="D114" s="1" t="s">
        <v>226</v>
      </c>
      <c r="E114" s="1" t="s">
        <v>24</v>
      </c>
      <c r="F114" s="1" t="s">
        <v>116</v>
      </c>
      <c r="G114" s="1" t="s">
        <v>31</v>
      </c>
      <c r="H114" s="1">
        <v>5</v>
      </c>
      <c r="I114" s="1">
        <v>585.5</v>
      </c>
      <c r="J114" s="1">
        <v>373.04</v>
      </c>
      <c r="K114" s="1">
        <v>0.15</v>
      </c>
      <c r="L114" s="1" t="s">
        <v>26</v>
      </c>
    </row>
    <row r="115" ht="15" customHeight="1" spans="1:12">
      <c r="A115" s="1" t="s">
        <v>386</v>
      </c>
      <c r="B115" s="1" t="s">
        <v>387</v>
      </c>
      <c r="C115" s="1" t="s">
        <v>388</v>
      </c>
      <c r="D115" s="1" t="s">
        <v>48</v>
      </c>
      <c r="E115" s="1" t="s">
        <v>171</v>
      </c>
      <c r="F115" s="1" t="s">
        <v>56</v>
      </c>
      <c r="G115" s="1" t="s">
        <v>18</v>
      </c>
      <c r="H115" s="1">
        <v>4</v>
      </c>
      <c r="I115" s="1">
        <v>1712.46</v>
      </c>
      <c r="J115" s="1">
        <v>987.91</v>
      </c>
      <c r="K115" s="1">
        <v>0.2</v>
      </c>
      <c r="L115" s="1" t="s">
        <v>26</v>
      </c>
    </row>
    <row r="116" ht="15" customHeight="1" spans="1:12">
      <c r="A116" s="1" t="s">
        <v>389</v>
      </c>
      <c r="B116" s="1" t="s">
        <v>390</v>
      </c>
      <c r="C116" s="1" t="s">
        <v>391</v>
      </c>
      <c r="D116" s="1" t="s">
        <v>80</v>
      </c>
      <c r="E116" s="1" t="s">
        <v>55</v>
      </c>
      <c r="F116" s="1" t="s">
        <v>154</v>
      </c>
      <c r="G116" s="1" t="s">
        <v>112</v>
      </c>
      <c r="H116" s="1">
        <v>11</v>
      </c>
      <c r="I116" s="1">
        <v>3142.36</v>
      </c>
      <c r="J116" s="1">
        <v>1288.01</v>
      </c>
      <c r="K116" s="1">
        <v>0</v>
      </c>
      <c r="L116" s="1" t="s">
        <v>136</v>
      </c>
    </row>
    <row r="117" ht="15" customHeight="1" spans="1:12">
      <c r="A117" s="1" t="s">
        <v>392</v>
      </c>
      <c r="B117" s="1" t="s">
        <v>393</v>
      </c>
      <c r="C117" s="1" t="s">
        <v>173</v>
      </c>
      <c r="D117" s="1" t="s">
        <v>30</v>
      </c>
      <c r="E117" s="1" t="s">
        <v>42</v>
      </c>
      <c r="F117" s="1" t="s">
        <v>158</v>
      </c>
      <c r="G117" s="1" t="s">
        <v>57</v>
      </c>
      <c r="H117" s="1">
        <v>4</v>
      </c>
      <c r="I117" s="1">
        <v>2163.17</v>
      </c>
      <c r="J117" s="1">
        <v>994.7</v>
      </c>
      <c r="K117" s="1">
        <v>0</v>
      </c>
      <c r="L117" s="1" t="s">
        <v>50</v>
      </c>
    </row>
    <row r="118" ht="15" customHeight="1" spans="1:12">
      <c r="A118" s="1" t="s">
        <v>394</v>
      </c>
      <c r="B118" s="1" t="s">
        <v>395</v>
      </c>
      <c r="C118" s="1" t="s">
        <v>396</v>
      </c>
      <c r="D118" s="1" t="s">
        <v>80</v>
      </c>
      <c r="E118" s="1" t="s">
        <v>55</v>
      </c>
      <c r="F118" s="1" t="s">
        <v>66</v>
      </c>
      <c r="G118" s="1" t="s">
        <v>112</v>
      </c>
      <c r="H118" s="1">
        <v>1</v>
      </c>
      <c r="I118" s="1">
        <v>2942.87</v>
      </c>
      <c r="J118" s="1">
        <v>1339.94</v>
      </c>
      <c r="K118" s="1">
        <v>0</v>
      </c>
      <c r="L118" s="1" t="s">
        <v>50</v>
      </c>
    </row>
    <row r="119" ht="15" customHeight="1" spans="1:12">
      <c r="A119" s="1" t="s">
        <v>397</v>
      </c>
      <c r="B119" s="1" t="s">
        <v>398</v>
      </c>
      <c r="C119" s="1" t="s">
        <v>360</v>
      </c>
      <c r="D119" s="1" t="s">
        <v>48</v>
      </c>
      <c r="E119" s="1" t="s">
        <v>61</v>
      </c>
      <c r="F119" s="1" t="s">
        <v>106</v>
      </c>
      <c r="G119" s="1" t="s">
        <v>112</v>
      </c>
      <c r="I119" s="1">
        <v>3743.03</v>
      </c>
      <c r="J119" s="1">
        <v>1826.76</v>
      </c>
      <c r="K119" s="1">
        <v>0</v>
      </c>
      <c r="L119" s="1" t="s">
        <v>50</v>
      </c>
    </row>
    <row r="120" ht="15" customHeight="1" spans="1:12">
      <c r="A120" s="1" t="s">
        <v>399</v>
      </c>
      <c r="B120" s="1" t="s">
        <v>400</v>
      </c>
      <c r="C120" s="1" t="s">
        <v>375</v>
      </c>
      <c r="D120" s="1" t="s">
        <v>41</v>
      </c>
      <c r="E120" s="1" t="s">
        <v>171</v>
      </c>
      <c r="F120" s="1" t="s">
        <v>154</v>
      </c>
      <c r="G120" s="1" t="s">
        <v>90</v>
      </c>
      <c r="H120" s="1">
        <v>4</v>
      </c>
      <c r="I120" s="1">
        <v>2675.94</v>
      </c>
      <c r="J120" s="1">
        <v>1320.04</v>
      </c>
      <c r="K120" s="1">
        <v>0.1</v>
      </c>
      <c r="L120" s="1" t="s">
        <v>19</v>
      </c>
    </row>
    <row r="121" ht="15" customHeight="1" spans="1:12">
      <c r="A121" s="1" t="s">
        <v>401</v>
      </c>
      <c r="B121" s="1" t="s">
        <v>247</v>
      </c>
      <c r="C121" s="1" t="s">
        <v>402</v>
      </c>
      <c r="D121" s="1" t="s">
        <v>23</v>
      </c>
      <c r="E121" s="1" t="s">
        <v>55</v>
      </c>
      <c r="F121" s="1" t="s">
        <v>154</v>
      </c>
      <c r="G121" s="1" t="s">
        <v>38</v>
      </c>
      <c r="H121" s="1">
        <v>3</v>
      </c>
      <c r="I121" s="1">
        <v>1431.55</v>
      </c>
      <c r="J121" s="1">
        <v>794.43</v>
      </c>
      <c r="K121" s="1">
        <v>0</v>
      </c>
      <c r="L121" s="1" t="s">
        <v>26</v>
      </c>
    </row>
    <row r="122" ht="15" customHeight="1" spans="1:12">
      <c r="A122" s="1" t="s">
        <v>403</v>
      </c>
      <c r="B122" s="1" t="s">
        <v>404</v>
      </c>
      <c r="C122" s="1" t="s">
        <v>186</v>
      </c>
      <c r="D122" s="1" t="s">
        <v>48</v>
      </c>
      <c r="E122" s="1" t="s">
        <v>16</v>
      </c>
      <c r="F122" s="1" t="s">
        <v>17</v>
      </c>
      <c r="G122" s="1" t="s">
        <v>112</v>
      </c>
      <c r="H122" s="1">
        <v>7</v>
      </c>
      <c r="I122" s="1">
        <v>2896.7</v>
      </c>
      <c r="J122" s="1">
        <v>1199.32</v>
      </c>
      <c r="K122" s="1">
        <v>0</v>
      </c>
      <c r="L122" s="1" t="s">
        <v>26</v>
      </c>
    </row>
    <row r="123" ht="15" customHeight="1" spans="1:12">
      <c r="A123" s="1" t="s">
        <v>405</v>
      </c>
      <c r="B123" s="1" t="s">
        <v>406</v>
      </c>
      <c r="C123" s="1" t="s">
        <v>360</v>
      </c>
      <c r="D123" s="1" t="s">
        <v>15</v>
      </c>
      <c r="E123" s="1" t="s">
        <v>24</v>
      </c>
      <c r="F123" s="1" t="s">
        <v>124</v>
      </c>
      <c r="G123" s="1" t="s">
        <v>90</v>
      </c>
      <c r="H123" s="1">
        <v>2</v>
      </c>
      <c r="I123" s="1">
        <v>3515.82</v>
      </c>
      <c r="J123" s="1">
        <v>1652.76</v>
      </c>
      <c r="K123" s="1">
        <v>0.1</v>
      </c>
      <c r="L123" s="1" t="s">
        <v>44</v>
      </c>
    </row>
    <row r="124" ht="15" customHeight="1" spans="1:12">
      <c r="A124" s="1" t="s">
        <v>407</v>
      </c>
      <c r="B124" s="1" t="s">
        <v>408</v>
      </c>
      <c r="C124" s="1" t="s">
        <v>409</v>
      </c>
      <c r="D124" s="1" t="s">
        <v>299</v>
      </c>
      <c r="E124" s="1" t="s">
        <v>24</v>
      </c>
      <c r="F124" s="1" t="s">
        <v>124</v>
      </c>
      <c r="G124" s="1" t="s">
        <v>31</v>
      </c>
      <c r="H124" s="1">
        <v>7</v>
      </c>
      <c r="I124" s="1">
        <v>3850.36</v>
      </c>
      <c r="J124" s="1">
        <v>1674.86</v>
      </c>
      <c r="K124" s="1">
        <v>0.15</v>
      </c>
      <c r="L124" s="1" t="s">
        <v>44</v>
      </c>
    </row>
    <row r="125" ht="15" customHeight="1" spans="1:12">
      <c r="A125" s="1" t="s">
        <v>410</v>
      </c>
      <c r="B125" s="1" t="s">
        <v>411</v>
      </c>
      <c r="C125" s="1" t="s">
        <v>267</v>
      </c>
      <c r="D125" s="1" t="s">
        <v>226</v>
      </c>
      <c r="E125" s="1" t="s">
        <v>16</v>
      </c>
      <c r="F125" s="1" t="s">
        <v>102</v>
      </c>
      <c r="G125" s="1" t="s">
        <v>112</v>
      </c>
      <c r="H125" s="1">
        <v>4</v>
      </c>
      <c r="I125" s="1">
        <v>1971.31</v>
      </c>
      <c r="J125" s="1">
        <v>1252.35</v>
      </c>
      <c r="K125" s="1">
        <v>0.05</v>
      </c>
      <c r="L125" s="1" t="s">
        <v>26</v>
      </c>
    </row>
    <row r="126" ht="15" customHeight="1" spans="1:12">
      <c r="A126" s="1" t="s">
        <v>412</v>
      </c>
      <c r="B126" s="1" t="s">
        <v>413</v>
      </c>
      <c r="D126" s="1" t="s">
        <v>80</v>
      </c>
      <c r="E126" s="1" t="s">
        <v>42</v>
      </c>
      <c r="F126" s="1" t="s">
        <v>146</v>
      </c>
      <c r="G126" s="1" t="s">
        <v>90</v>
      </c>
      <c r="H126" s="1">
        <v>2</v>
      </c>
      <c r="I126" s="1">
        <v>323.42</v>
      </c>
      <c r="J126" s="1">
        <v>154.29</v>
      </c>
      <c r="K126" s="1">
        <v>0</v>
      </c>
      <c r="L126" s="1" t="s">
        <v>19</v>
      </c>
    </row>
    <row r="127" ht="15" customHeight="1" spans="1:12">
      <c r="A127" s="1" t="s">
        <v>414</v>
      </c>
      <c r="B127" s="1" t="s">
        <v>415</v>
      </c>
      <c r="C127" s="1" t="s">
        <v>416</v>
      </c>
      <c r="D127" s="1" t="s">
        <v>80</v>
      </c>
      <c r="E127" s="1" t="s">
        <v>42</v>
      </c>
      <c r="F127" s="1" t="s">
        <v>85</v>
      </c>
      <c r="G127" s="1" t="s">
        <v>112</v>
      </c>
      <c r="H127" s="1">
        <v>7</v>
      </c>
      <c r="I127" s="1">
        <v>3961.09</v>
      </c>
      <c r="J127" s="1">
        <v>2302.23</v>
      </c>
      <c r="K127" s="1">
        <v>0.1</v>
      </c>
      <c r="L127" s="1" t="s">
        <v>32</v>
      </c>
    </row>
    <row r="128" ht="15" customHeight="1" spans="1:12">
      <c r="A128" s="1" t="s">
        <v>417</v>
      </c>
      <c r="B128" s="1" t="s">
        <v>126</v>
      </c>
      <c r="C128" s="1" t="s">
        <v>295</v>
      </c>
      <c r="D128" s="1" t="s">
        <v>41</v>
      </c>
      <c r="E128" s="1" t="s">
        <v>61</v>
      </c>
      <c r="F128" s="1" t="s">
        <v>111</v>
      </c>
      <c r="G128" s="1" t="s">
        <v>57</v>
      </c>
      <c r="H128" s="1">
        <v>11</v>
      </c>
      <c r="I128" s="1">
        <v>2629.27</v>
      </c>
      <c r="J128" s="1">
        <v>1457.06</v>
      </c>
      <c r="K128" s="1">
        <v>0.05</v>
      </c>
      <c r="L128" s="1" t="s">
        <v>19</v>
      </c>
    </row>
    <row r="129" ht="15" customHeight="1" spans="1:12">
      <c r="A129" s="1" t="s">
        <v>418</v>
      </c>
      <c r="B129" s="1" t="s">
        <v>419</v>
      </c>
      <c r="C129" s="1" t="s">
        <v>220</v>
      </c>
      <c r="D129" s="1" t="s">
        <v>80</v>
      </c>
      <c r="E129" s="1" t="s">
        <v>55</v>
      </c>
      <c r="F129" s="1" t="s">
        <v>66</v>
      </c>
      <c r="G129" s="1" t="s">
        <v>38</v>
      </c>
      <c r="H129" s="1">
        <v>12</v>
      </c>
      <c r="I129" s="1">
        <v>1243</v>
      </c>
      <c r="J129" s="1">
        <v>594.83</v>
      </c>
      <c r="K129" s="1">
        <v>0.05</v>
      </c>
      <c r="L129" s="1" t="s">
        <v>136</v>
      </c>
    </row>
    <row r="130" ht="15" customHeight="1" spans="1:12">
      <c r="A130" s="1" t="s">
        <v>420</v>
      </c>
      <c r="B130" s="1" t="s">
        <v>421</v>
      </c>
      <c r="C130" s="1" t="s">
        <v>123</v>
      </c>
      <c r="D130" s="1" t="s">
        <v>239</v>
      </c>
      <c r="E130" s="1" t="s">
        <v>24</v>
      </c>
      <c r="F130" s="1" t="s">
        <v>116</v>
      </c>
      <c r="G130" s="1" t="s">
        <v>90</v>
      </c>
      <c r="H130" s="1">
        <v>12</v>
      </c>
      <c r="I130" s="1">
        <v>2468.62</v>
      </c>
      <c r="J130" s="1">
        <v>1424.62</v>
      </c>
      <c r="K130" s="1">
        <v>0.05</v>
      </c>
      <c r="L130" s="1" t="s">
        <v>26</v>
      </c>
    </row>
    <row r="131" ht="15" customHeight="1" spans="1:12">
      <c r="A131" s="1" t="s">
        <v>422</v>
      </c>
      <c r="B131" s="1" t="s">
        <v>423</v>
      </c>
      <c r="C131" s="1" t="s">
        <v>424</v>
      </c>
      <c r="D131" s="1" t="s">
        <v>30</v>
      </c>
      <c r="E131" s="1" t="s">
        <v>24</v>
      </c>
      <c r="F131" s="1" t="s">
        <v>124</v>
      </c>
      <c r="G131" s="1" t="s">
        <v>38</v>
      </c>
      <c r="H131" s="1">
        <v>12</v>
      </c>
      <c r="I131" s="1">
        <v>2265.01</v>
      </c>
      <c r="J131" s="1">
        <v>926.82</v>
      </c>
      <c r="K131" s="1">
        <v>0</v>
      </c>
      <c r="L131" s="1" t="s">
        <v>32</v>
      </c>
    </row>
    <row r="132" ht="15" customHeight="1" spans="1:12">
      <c r="A132" s="1" t="s">
        <v>425</v>
      </c>
      <c r="B132" s="1" t="s">
        <v>426</v>
      </c>
      <c r="C132" s="1" t="s">
        <v>427</v>
      </c>
      <c r="D132" s="1" t="s">
        <v>54</v>
      </c>
      <c r="E132" s="1" t="s">
        <v>42</v>
      </c>
      <c r="F132" s="1" t="s">
        <v>85</v>
      </c>
      <c r="G132" s="1" t="s">
        <v>90</v>
      </c>
      <c r="H132" s="1">
        <v>5</v>
      </c>
      <c r="I132" s="1">
        <v>1342.41</v>
      </c>
      <c r="J132" s="1">
        <v>787.61</v>
      </c>
      <c r="K132" s="1">
        <v>0.1</v>
      </c>
      <c r="L132" s="1" t="s">
        <v>26</v>
      </c>
    </row>
    <row r="133" ht="15" customHeight="1" spans="1:12">
      <c r="A133" s="1" t="s">
        <v>428</v>
      </c>
      <c r="B133" s="1" t="s">
        <v>429</v>
      </c>
      <c r="C133" s="1" t="s">
        <v>430</v>
      </c>
      <c r="D133" s="1" t="s">
        <v>80</v>
      </c>
      <c r="E133" s="1" t="s">
        <v>55</v>
      </c>
      <c r="F133" s="1" t="s">
        <v>66</v>
      </c>
      <c r="G133" s="1" t="s">
        <v>31</v>
      </c>
      <c r="H133" s="1">
        <v>8</v>
      </c>
      <c r="I133" s="1">
        <v>3985.07</v>
      </c>
      <c r="J133" s="1">
        <v>2113.2</v>
      </c>
      <c r="K133" s="1">
        <v>0</v>
      </c>
      <c r="L133" s="1" t="s">
        <v>136</v>
      </c>
    </row>
    <row r="134" ht="15" customHeight="1" spans="1:12">
      <c r="A134" s="1" t="s">
        <v>431</v>
      </c>
      <c r="B134" s="1" t="s">
        <v>432</v>
      </c>
      <c r="C134" s="1" t="s">
        <v>433</v>
      </c>
      <c r="D134" s="1" t="s">
        <v>41</v>
      </c>
      <c r="E134" s="1" t="s">
        <v>55</v>
      </c>
      <c r="F134" s="1" t="s">
        <v>56</v>
      </c>
      <c r="G134" s="1" t="s">
        <v>38</v>
      </c>
      <c r="I134" s="1">
        <v>1854.65</v>
      </c>
      <c r="J134" s="1">
        <v>939.55</v>
      </c>
      <c r="K134" s="1">
        <v>0.05</v>
      </c>
      <c r="L134" s="1" t="s">
        <v>32</v>
      </c>
    </row>
    <row r="135" ht="15" customHeight="1" spans="1:12">
      <c r="A135" s="1" t="s">
        <v>434</v>
      </c>
      <c r="B135" s="1" t="s">
        <v>435</v>
      </c>
      <c r="C135" s="1" t="s">
        <v>436</v>
      </c>
      <c r="D135" s="1" t="s">
        <v>30</v>
      </c>
      <c r="E135" s="1" t="s">
        <v>61</v>
      </c>
      <c r="F135" s="1" t="s">
        <v>94</v>
      </c>
      <c r="G135" s="1" t="s">
        <v>90</v>
      </c>
      <c r="H135" s="1">
        <v>9</v>
      </c>
      <c r="I135" s="1">
        <v>1177.71</v>
      </c>
      <c r="J135" s="1">
        <v>567.06</v>
      </c>
      <c r="K135" s="1">
        <v>0.05</v>
      </c>
      <c r="L135" s="1" t="s">
        <v>26</v>
      </c>
    </row>
    <row r="136" ht="15" customHeight="1" spans="1:12">
      <c r="A136" s="1" t="s">
        <v>437</v>
      </c>
      <c r="B136" s="1" t="s">
        <v>438</v>
      </c>
      <c r="C136" s="1" t="s">
        <v>439</v>
      </c>
      <c r="D136" s="1" t="s">
        <v>299</v>
      </c>
      <c r="E136" s="1" t="s">
        <v>61</v>
      </c>
      <c r="F136" s="1" t="s">
        <v>120</v>
      </c>
      <c r="G136" s="1" t="s">
        <v>90</v>
      </c>
      <c r="H136" s="1">
        <v>11</v>
      </c>
      <c r="I136" s="1">
        <v>928.55</v>
      </c>
      <c r="J136" s="1">
        <v>398.78</v>
      </c>
      <c r="K136" s="1">
        <v>0</v>
      </c>
      <c r="L136" s="1" t="s">
        <v>136</v>
      </c>
    </row>
    <row r="137" ht="15" customHeight="1" spans="1:12">
      <c r="A137" s="1" t="s">
        <v>440</v>
      </c>
      <c r="B137" s="1" t="s">
        <v>441</v>
      </c>
      <c r="C137" s="1" t="s">
        <v>339</v>
      </c>
      <c r="D137" s="1" t="s">
        <v>140</v>
      </c>
      <c r="E137" s="1" t="s">
        <v>55</v>
      </c>
      <c r="F137" s="1" t="s">
        <v>56</v>
      </c>
      <c r="G137" s="1" t="s">
        <v>112</v>
      </c>
      <c r="H137" s="1">
        <v>5</v>
      </c>
      <c r="I137" s="1">
        <v>958.39</v>
      </c>
      <c r="J137" s="1">
        <v>458.73</v>
      </c>
      <c r="K137" s="1">
        <v>0.05</v>
      </c>
      <c r="L137" s="1" t="s">
        <v>26</v>
      </c>
    </row>
    <row r="138" ht="15" customHeight="1" spans="1:12">
      <c r="A138" s="1" t="s">
        <v>442</v>
      </c>
      <c r="B138" s="1" t="s">
        <v>443</v>
      </c>
      <c r="C138" s="1" t="s">
        <v>444</v>
      </c>
      <c r="D138" s="1" t="s">
        <v>54</v>
      </c>
      <c r="E138" s="1" t="s">
        <v>42</v>
      </c>
      <c r="F138" s="1" t="s">
        <v>158</v>
      </c>
      <c r="G138" s="1" t="s">
        <v>38</v>
      </c>
      <c r="H138" s="1">
        <v>1</v>
      </c>
      <c r="I138" s="1">
        <v>4039.64</v>
      </c>
      <c r="J138" s="1">
        <v>1838.57</v>
      </c>
      <c r="K138" s="1">
        <v>0</v>
      </c>
      <c r="L138" s="1" t="s">
        <v>44</v>
      </c>
    </row>
    <row r="139" ht="15" customHeight="1" spans="1:12">
      <c r="A139" s="1" t="s">
        <v>445</v>
      </c>
      <c r="B139" s="1" t="s">
        <v>446</v>
      </c>
      <c r="C139" s="1" t="s">
        <v>447</v>
      </c>
      <c r="D139" s="1" t="s">
        <v>54</v>
      </c>
      <c r="E139" s="1" t="s">
        <v>61</v>
      </c>
      <c r="F139" s="1" t="s">
        <v>120</v>
      </c>
      <c r="G139" s="1" t="s">
        <v>57</v>
      </c>
      <c r="H139" s="1">
        <v>8</v>
      </c>
      <c r="I139" s="1">
        <v>2866.86</v>
      </c>
      <c r="J139" s="1">
        <v>1856.13</v>
      </c>
      <c r="K139" s="1">
        <v>0</v>
      </c>
      <c r="L139" s="1" t="s">
        <v>19</v>
      </c>
    </row>
    <row r="140" ht="15" customHeight="1" spans="1:12">
      <c r="A140" s="1" t="s">
        <v>448</v>
      </c>
      <c r="B140" s="1" t="s">
        <v>75</v>
      </c>
      <c r="C140" s="1" t="s">
        <v>449</v>
      </c>
      <c r="D140" s="1" t="s">
        <v>48</v>
      </c>
      <c r="E140" s="1" t="s">
        <v>61</v>
      </c>
      <c r="F140" s="1" t="s">
        <v>120</v>
      </c>
      <c r="G140" s="1" t="s">
        <v>18</v>
      </c>
      <c r="H140" s="1">
        <v>10</v>
      </c>
      <c r="I140" s="1">
        <v>953.4</v>
      </c>
      <c r="J140" s="1">
        <v>430.61</v>
      </c>
      <c r="K140" s="1">
        <v>0</v>
      </c>
      <c r="L140" s="1" t="s">
        <v>50</v>
      </c>
    </row>
    <row r="141" ht="15" customHeight="1" spans="1:12">
      <c r="A141" s="1" t="s">
        <v>450</v>
      </c>
      <c r="B141" s="1" t="s">
        <v>451</v>
      </c>
      <c r="C141" s="1" t="s">
        <v>452</v>
      </c>
      <c r="D141" s="1" t="s">
        <v>48</v>
      </c>
      <c r="E141" s="1" t="s">
        <v>16</v>
      </c>
      <c r="F141" s="1" t="s">
        <v>174</v>
      </c>
      <c r="G141" s="1" t="s">
        <v>90</v>
      </c>
      <c r="H141" s="1">
        <v>5</v>
      </c>
      <c r="I141" s="1">
        <v>4374.12</v>
      </c>
      <c r="J141" s="1">
        <v>1888.4</v>
      </c>
      <c r="K141" s="1">
        <v>0.2</v>
      </c>
      <c r="L141" s="1" t="s">
        <v>136</v>
      </c>
    </row>
    <row r="142" ht="15" customHeight="1" spans="1:12">
      <c r="A142" s="1" t="s">
        <v>453</v>
      </c>
      <c r="B142" s="1" t="s">
        <v>454</v>
      </c>
      <c r="C142" s="1" t="s">
        <v>455</v>
      </c>
      <c r="D142" s="1" t="s">
        <v>30</v>
      </c>
      <c r="E142" s="1" t="s">
        <v>70</v>
      </c>
      <c r="F142" s="1" t="s">
        <v>49</v>
      </c>
      <c r="G142" s="1" t="s">
        <v>57</v>
      </c>
      <c r="H142" s="1">
        <v>5</v>
      </c>
      <c r="I142" s="1">
        <v>3564.11</v>
      </c>
      <c r="J142" s="1">
        <v>2207.36</v>
      </c>
      <c r="K142" s="1">
        <v>0.05</v>
      </c>
      <c r="L142" s="1" t="s">
        <v>19</v>
      </c>
    </row>
    <row r="143" ht="15" customHeight="1" spans="1:12">
      <c r="A143" s="1" t="s">
        <v>456</v>
      </c>
      <c r="B143" s="1" t="s">
        <v>457</v>
      </c>
      <c r="C143" s="1" t="s">
        <v>458</v>
      </c>
      <c r="D143" s="1" t="s">
        <v>48</v>
      </c>
      <c r="E143" s="1" t="s">
        <v>42</v>
      </c>
      <c r="F143" s="1" t="s">
        <v>158</v>
      </c>
      <c r="G143" s="1" t="s">
        <v>31</v>
      </c>
      <c r="H143" s="1">
        <v>-6</v>
      </c>
      <c r="I143" s="1">
        <v>4192.22</v>
      </c>
      <c r="J143" s="1">
        <v>2030.87</v>
      </c>
      <c r="K143" s="1">
        <v>0.1</v>
      </c>
      <c r="L143" s="1" t="s">
        <v>26</v>
      </c>
    </row>
    <row r="144" ht="15" customHeight="1" spans="1:12">
      <c r="A144" s="1" t="s">
        <v>459</v>
      </c>
      <c r="B144" s="1" t="s">
        <v>191</v>
      </c>
      <c r="D144" s="1" t="s">
        <v>193</v>
      </c>
      <c r="E144" s="1" t="s">
        <v>42</v>
      </c>
      <c r="F144" s="1" t="s">
        <v>85</v>
      </c>
      <c r="G144" s="1" t="s">
        <v>18</v>
      </c>
      <c r="H144" s="1">
        <v>12</v>
      </c>
      <c r="I144" s="1">
        <v>4573.21</v>
      </c>
      <c r="J144" s="1">
        <v>2837.85</v>
      </c>
      <c r="K144" s="1">
        <v>0</v>
      </c>
      <c r="L144" s="1" t="s">
        <v>136</v>
      </c>
    </row>
    <row r="145" ht="15" customHeight="1" spans="1:12">
      <c r="A145" s="1" t="s">
        <v>460</v>
      </c>
      <c r="B145" s="1" t="s">
        <v>461</v>
      </c>
      <c r="C145" s="1" t="s">
        <v>462</v>
      </c>
      <c r="D145" s="1" t="s">
        <v>98</v>
      </c>
      <c r="E145" s="1" t="s">
        <v>16</v>
      </c>
      <c r="F145" s="1" t="s">
        <v>17</v>
      </c>
      <c r="G145" s="1" t="s">
        <v>18</v>
      </c>
      <c r="H145" s="1">
        <v>8</v>
      </c>
      <c r="I145" s="1">
        <v>665.31</v>
      </c>
      <c r="J145" s="1">
        <v>364.87</v>
      </c>
      <c r="K145" s="1">
        <v>0.1</v>
      </c>
      <c r="L145" s="1" t="s">
        <v>136</v>
      </c>
    </row>
    <row r="146" ht="15" customHeight="1" spans="1:12">
      <c r="A146" s="1" t="s">
        <v>463</v>
      </c>
      <c r="B146" s="1" t="s">
        <v>464</v>
      </c>
      <c r="C146" s="1" t="s">
        <v>329</v>
      </c>
      <c r="D146" s="1" t="s">
        <v>41</v>
      </c>
      <c r="E146" s="1" t="s">
        <v>61</v>
      </c>
      <c r="F146" s="1" t="s">
        <v>111</v>
      </c>
      <c r="G146" s="1" t="s">
        <v>112</v>
      </c>
      <c r="H146" s="1">
        <v>3</v>
      </c>
      <c r="I146" s="1">
        <v>3314.41</v>
      </c>
      <c r="J146" s="1">
        <v>1886.84</v>
      </c>
      <c r="K146" s="1">
        <v>0</v>
      </c>
      <c r="L146" s="1" t="s">
        <v>50</v>
      </c>
    </row>
    <row r="147" ht="15" customHeight="1" spans="1:12">
      <c r="A147" s="1" t="s">
        <v>465</v>
      </c>
      <c r="B147" s="1" t="s">
        <v>466</v>
      </c>
      <c r="C147" s="1" t="s">
        <v>467</v>
      </c>
      <c r="D147" s="1" t="s">
        <v>23</v>
      </c>
      <c r="E147" s="1" t="s">
        <v>16</v>
      </c>
      <c r="F147" s="1" t="s">
        <v>174</v>
      </c>
      <c r="G147" s="1" t="s">
        <v>38</v>
      </c>
      <c r="H147" s="1">
        <v>12</v>
      </c>
      <c r="I147" s="1">
        <v>2103.95</v>
      </c>
      <c r="J147" s="1">
        <v>1348.24</v>
      </c>
      <c r="K147" s="1">
        <v>0</v>
      </c>
      <c r="L147" s="1" t="s">
        <v>136</v>
      </c>
    </row>
    <row r="148" ht="15" customHeight="1" spans="1:12">
      <c r="A148" s="1" t="s">
        <v>468</v>
      </c>
      <c r="B148" s="1" t="s">
        <v>469</v>
      </c>
      <c r="C148" s="1" t="s">
        <v>470</v>
      </c>
      <c r="D148" s="1" t="s">
        <v>299</v>
      </c>
      <c r="E148" s="1" t="s">
        <v>61</v>
      </c>
      <c r="F148" s="1" t="s">
        <v>62</v>
      </c>
      <c r="G148" s="1" t="s">
        <v>38</v>
      </c>
      <c r="H148" s="1">
        <v>9</v>
      </c>
      <c r="I148" s="1">
        <v>1185.64</v>
      </c>
      <c r="J148" s="1">
        <v>590.37</v>
      </c>
      <c r="K148" s="1">
        <v>0.15</v>
      </c>
      <c r="L148" s="1" t="s">
        <v>26</v>
      </c>
    </row>
    <row r="149" ht="15" customHeight="1" spans="1:12">
      <c r="A149" s="1" t="s">
        <v>471</v>
      </c>
      <c r="B149" s="1" t="s">
        <v>472</v>
      </c>
      <c r="C149" s="1" t="s">
        <v>473</v>
      </c>
      <c r="D149" s="1" t="s">
        <v>15</v>
      </c>
      <c r="E149" s="1" t="s">
        <v>24</v>
      </c>
      <c r="F149" s="1" t="s">
        <v>124</v>
      </c>
      <c r="G149" s="1" t="s">
        <v>38</v>
      </c>
      <c r="H149" s="1">
        <v>11</v>
      </c>
      <c r="I149" s="1">
        <v>1111.02</v>
      </c>
      <c r="J149" s="1">
        <v>575.23</v>
      </c>
      <c r="K149" s="1">
        <v>0.2</v>
      </c>
      <c r="L149" s="1" t="s">
        <v>19</v>
      </c>
    </row>
    <row r="150" ht="15" customHeight="1" spans="1:12">
      <c r="A150" s="1" t="s">
        <v>474</v>
      </c>
      <c r="B150" s="1" t="s">
        <v>475</v>
      </c>
      <c r="C150" s="1" t="s">
        <v>272</v>
      </c>
      <c r="D150" s="1" t="s">
        <v>54</v>
      </c>
      <c r="E150" s="1" t="s">
        <v>42</v>
      </c>
      <c r="F150" s="1" t="s">
        <v>43</v>
      </c>
      <c r="G150" s="1" t="s">
        <v>57</v>
      </c>
      <c r="H150" s="1">
        <v>9</v>
      </c>
      <c r="I150" s="1">
        <v>2825.98</v>
      </c>
      <c r="J150" s="1">
        <v>1238.26</v>
      </c>
      <c r="K150" s="1">
        <v>0</v>
      </c>
      <c r="L150" s="1" t="s">
        <v>32</v>
      </c>
    </row>
    <row r="151" ht="15" customHeight="1" spans="1:12">
      <c r="A151" s="1" t="s">
        <v>476</v>
      </c>
      <c r="B151" s="1" t="s">
        <v>477</v>
      </c>
      <c r="C151" s="1" t="s">
        <v>478</v>
      </c>
      <c r="D151" s="1" t="s">
        <v>41</v>
      </c>
      <c r="E151" s="1" t="s">
        <v>55</v>
      </c>
      <c r="F151" s="1" t="s">
        <v>154</v>
      </c>
      <c r="G151" s="1" t="s">
        <v>90</v>
      </c>
      <c r="H151" s="1">
        <v>7</v>
      </c>
      <c r="I151" s="1">
        <v>844.14</v>
      </c>
      <c r="J151" s="1">
        <v>466.87</v>
      </c>
      <c r="K151" s="1">
        <v>0</v>
      </c>
      <c r="L151" s="1" t="s">
        <v>19</v>
      </c>
    </row>
    <row r="152" ht="15" customHeight="1" spans="1:12">
      <c r="A152" s="1" t="s">
        <v>479</v>
      </c>
      <c r="B152" s="1" t="s">
        <v>480</v>
      </c>
      <c r="C152" s="1" t="s">
        <v>481</v>
      </c>
      <c r="D152" s="1" t="s">
        <v>54</v>
      </c>
      <c r="E152" s="1" t="s">
        <v>61</v>
      </c>
      <c r="F152" s="1" t="s">
        <v>94</v>
      </c>
      <c r="G152" s="1" t="s">
        <v>31</v>
      </c>
      <c r="H152" s="1">
        <v>7</v>
      </c>
      <c r="I152" s="1">
        <v>1577.31</v>
      </c>
      <c r="J152" s="1">
        <v>656.11</v>
      </c>
      <c r="K152" s="1">
        <v>0.15</v>
      </c>
      <c r="L152" s="1" t="s">
        <v>50</v>
      </c>
    </row>
    <row r="153" ht="15" customHeight="1" spans="1:12">
      <c r="A153" s="1" t="s">
        <v>482</v>
      </c>
      <c r="B153" s="1" t="s">
        <v>483</v>
      </c>
      <c r="C153" s="1" t="s">
        <v>388</v>
      </c>
      <c r="D153" s="1" t="s">
        <v>54</v>
      </c>
      <c r="E153" s="1" t="s">
        <v>24</v>
      </c>
      <c r="F153" s="1" t="s">
        <v>235</v>
      </c>
      <c r="G153" s="1" t="s">
        <v>90</v>
      </c>
      <c r="H153" s="1">
        <v>4</v>
      </c>
      <c r="I153" s="1">
        <v>515.11</v>
      </c>
      <c r="J153" s="1">
        <v>252.92</v>
      </c>
      <c r="K153" s="1">
        <v>0</v>
      </c>
      <c r="L153" s="1" t="s">
        <v>136</v>
      </c>
    </row>
    <row r="154" ht="15" customHeight="1" spans="1:12">
      <c r="A154" s="1" t="s">
        <v>484</v>
      </c>
      <c r="B154" s="1" t="s">
        <v>393</v>
      </c>
      <c r="C154" s="1" t="s">
        <v>208</v>
      </c>
      <c r="D154" s="1" t="s">
        <v>36</v>
      </c>
      <c r="E154" s="1" t="s">
        <v>16</v>
      </c>
      <c r="F154" s="1" t="s">
        <v>174</v>
      </c>
      <c r="G154" s="1" t="s">
        <v>38</v>
      </c>
      <c r="H154" s="1">
        <v>1</v>
      </c>
      <c r="I154" s="1">
        <v>4783.17</v>
      </c>
      <c r="J154" s="1">
        <v>1995.69</v>
      </c>
      <c r="K154" s="1">
        <v>0.05</v>
      </c>
      <c r="L154" s="1" t="s">
        <v>19</v>
      </c>
    </row>
    <row r="155" ht="15" customHeight="1" spans="1:12">
      <c r="A155" s="1" t="s">
        <v>485</v>
      </c>
      <c r="B155" s="1" t="s">
        <v>486</v>
      </c>
      <c r="C155" s="1" t="s">
        <v>487</v>
      </c>
      <c r="D155" s="1" t="s">
        <v>41</v>
      </c>
      <c r="E155" s="1" t="s">
        <v>55</v>
      </c>
      <c r="F155" s="1" t="s">
        <v>56</v>
      </c>
      <c r="G155" s="1" t="s">
        <v>18</v>
      </c>
      <c r="H155" s="1">
        <v>1</v>
      </c>
      <c r="I155" s="1">
        <v>4681.27</v>
      </c>
      <c r="J155" s="1">
        <v>1900.49</v>
      </c>
      <c r="K155" s="1">
        <v>0.1</v>
      </c>
      <c r="L155" s="1" t="s">
        <v>19</v>
      </c>
    </row>
    <row r="156" ht="15" customHeight="1" spans="1:12">
      <c r="A156" s="1" t="s">
        <v>488</v>
      </c>
      <c r="B156" s="1" t="s">
        <v>489</v>
      </c>
      <c r="C156" s="1" t="s">
        <v>490</v>
      </c>
      <c r="D156" s="1" t="s">
        <v>54</v>
      </c>
      <c r="E156" s="1" t="s">
        <v>55</v>
      </c>
      <c r="F156" s="1" t="s">
        <v>66</v>
      </c>
      <c r="G156" s="1" t="s">
        <v>90</v>
      </c>
      <c r="H156" s="1">
        <v>4</v>
      </c>
      <c r="I156" s="1">
        <v>4516.25</v>
      </c>
      <c r="J156" s="1">
        <v>2393.34</v>
      </c>
      <c r="K156" s="1">
        <v>0.15</v>
      </c>
      <c r="L156" s="1" t="s">
        <v>19</v>
      </c>
    </row>
    <row r="157" ht="15" customHeight="1" spans="1:12">
      <c r="A157" s="1" t="s">
        <v>491</v>
      </c>
      <c r="B157" s="1" t="s">
        <v>492</v>
      </c>
      <c r="C157" s="1" t="s">
        <v>323</v>
      </c>
      <c r="D157" s="1" t="s">
        <v>15</v>
      </c>
      <c r="E157" s="1" t="s">
        <v>61</v>
      </c>
      <c r="F157" s="1" t="s">
        <v>106</v>
      </c>
      <c r="G157" s="1" t="s">
        <v>31</v>
      </c>
      <c r="H157" s="1">
        <v>8</v>
      </c>
      <c r="I157" s="1">
        <v>1577.19</v>
      </c>
      <c r="J157" s="1">
        <v>660.33</v>
      </c>
      <c r="K157" s="1">
        <v>0</v>
      </c>
      <c r="L157" s="1" t="s">
        <v>32</v>
      </c>
    </row>
    <row r="158" ht="15" customHeight="1" spans="1:12">
      <c r="A158" s="1" t="s">
        <v>493</v>
      </c>
      <c r="B158" s="1" t="s">
        <v>494</v>
      </c>
      <c r="C158" s="1" t="s">
        <v>495</v>
      </c>
      <c r="D158" s="1" t="s">
        <v>41</v>
      </c>
      <c r="E158" s="1" t="s">
        <v>16</v>
      </c>
      <c r="F158" s="1" t="s">
        <v>17</v>
      </c>
      <c r="G158" s="1" t="s">
        <v>57</v>
      </c>
      <c r="H158" s="1">
        <v>5</v>
      </c>
      <c r="I158" s="1">
        <v>4183.02</v>
      </c>
      <c r="J158" s="1">
        <v>2401.97</v>
      </c>
      <c r="K158" s="1">
        <v>0</v>
      </c>
      <c r="L158" s="1" t="s">
        <v>19</v>
      </c>
    </row>
    <row r="159" ht="15" customHeight="1" spans="1:12">
      <c r="A159" s="1" t="s">
        <v>496</v>
      </c>
      <c r="B159" s="1" t="s">
        <v>497</v>
      </c>
      <c r="C159" s="1" t="s">
        <v>305</v>
      </c>
      <c r="D159" s="1" t="s">
        <v>140</v>
      </c>
      <c r="E159" s="1" t="s">
        <v>24</v>
      </c>
      <c r="F159" s="1" t="s">
        <v>131</v>
      </c>
      <c r="G159" s="1" t="s">
        <v>90</v>
      </c>
      <c r="H159" s="1">
        <v>8</v>
      </c>
      <c r="I159" s="1">
        <v>777.96</v>
      </c>
      <c r="J159" s="1">
        <v>465.57</v>
      </c>
      <c r="K159" s="1">
        <v>0</v>
      </c>
      <c r="L159" s="1" t="s">
        <v>32</v>
      </c>
    </row>
    <row r="160" ht="15" customHeight="1" spans="1:12">
      <c r="A160" s="1" t="s">
        <v>498</v>
      </c>
      <c r="B160" s="1" t="s">
        <v>499</v>
      </c>
      <c r="C160" s="1" t="s">
        <v>500</v>
      </c>
      <c r="D160" s="1" t="s">
        <v>140</v>
      </c>
      <c r="E160" s="1" t="s">
        <v>16</v>
      </c>
      <c r="F160" s="1" t="s">
        <v>17</v>
      </c>
      <c r="G160" s="1" t="s">
        <v>57</v>
      </c>
      <c r="H160" s="1">
        <v>8</v>
      </c>
      <c r="I160" s="1">
        <v>4102.7</v>
      </c>
      <c r="J160" s="1">
        <v>1735.42</v>
      </c>
      <c r="K160" s="1">
        <v>0.2</v>
      </c>
      <c r="L160" s="1" t="s">
        <v>26</v>
      </c>
    </row>
    <row r="161" ht="15" customHeight="1" spans="1:12">
      <c r="A161" s="1" t="s">
        <v>501</v>
      </c>
      <c r="B161" s="1" t="s">
        <v>213</v>
      </c>
      <c r="C161" s="1" t="s">
        <v>502</v>
      </c>
      <c r="D161" s="1" t="s">
        <v>153</v>
      </c>
      <c r="E161" s="1" t="s">
        <v>55</v>
      </c>
      <c r="F161" s="1" t="s">
        <v>66</v>
      </c>
      <c r="G161" s="1" t="s">
        <v>112</v>
      </c>
      <c r="H161" s="1">
        <v>3</v>
      </c>
      <c r="I161" s="1">
        <v>461.85</v>
      </c>
      <c r="J161" s="1">
        <v>256.23</v>
      </c>
      <c r="K161" s="1">
        <v>0</v>
      </c>
      <c r="L161" s="1" t="s">
        <v>50</v>
      </c>
    </row>
    <row r="162" ht="15" customHeight="1" spans="1:12">
      <c r="A162" s="1" t="s">
        <v>503</v>
      </c>
      <c r="B162" s="1" t="s">
        <v>504</v>
      </c>
      <c r="C162" s="1" t="s">
        <v>245</v>
      </c>
      <c r="D162" s="1" t="s">
        <v>80</v>
      </c>
      <c r="E162" s="1" t="s">
        <v>16</v>
      </c>
      <c r="F162" s="1" t="s">
        <v>49</v>
      </c>
      <c r="G162" s="1" t="s">
        <v>112</v>
      </c>
      <c r="H162" s="1">
        <v>9</v>
      </c>
      <c r="I162" s="1">
        <v>3971.74</v>
      </c>
      <c r="J162" s="1">
        <v>1930.3</v>
      </c>
      <c r="K162" s="1">
        <v>0.1</v>
      </c>
      <c r="L162" s="1" t="s">
        <v>44</v>
      </c>
    </row>
    <row r="163" ht="15" customHeight="1" spans="1:12">
      <c r="A163" s="1" t="s">
        <v>505</v>
      </c>
      <c r="B163" s="1" t="s">
        <v>506</v>
      </c>
      <c r="C163" s="1" t="s">
        <v>507</v>
      </c>
      <c r="D163" s="1" t="s">
        <v>54</v>
      </c>
      <c r="E163" s="1" t="s">
        <v>55</v>
      </c>
      <c r="F163" s="1" t="s">
        <v>81</v>
      </c>
      <c r="G163" s="1" t="s">
        <v>18</v>
      </c>
      <c r="H163" s="1">
        <v>11</v>
      </c>
      <c r="J163" s="1">
        <v>764.08</v>
      </c>
      <c r="K163" s="1">
        <v>0.2</v>
      </c>
      <c r="L163" s="1" t="s">
        <v>26</v>
      </c>
    </row>
    <row r="164" ht="15" customHeight="1" spans="1:12">
      <c r="A164" s="1" t="s">
        <v>508</v>
      </c>
      <c r="B164" s="1" t="s">
        <v>509</v>
      </c>
      <c r="C164" s="1" t="s">
        <v>510</v>
      </c>
      <c r="D164" s="1" t="s">
        <v>239</v>
      </c>
      <c r="E164" s="1" t="s">
        <v>61</v>
      </c>
      <c r="F164" s="1" t="s">
        <v>120</v>
      </c>
      <c r="G164" s="1" t="s">
        <v>18</v>
      </c>
      <c r="H164" s="1">
        <v>10</v>
      </c>
      <c r="I164" s="1">
        <v>4756.33</v>
      </c>
      <c r="J164" s="1">
        <v>2897.43</v>
      </c>
      <c r="K164" s="1">
        <v>0.2</v>
      </c>
      <c r="L164" s="1" t="s">
        <v>32</v>
      </c>
    </row>
    <row r="165" ht="15" customHeight="1" spans="1:12">
      <c r="A165" s="1" t="s">
        <v>511</v>
      </c>
      <c r="B165" s="1" t="s">
        <v>512</v>
      </c>
      <c r="C165" s="1" t="s">
        <v>345</v>
      </c>
      <c r="D165" s="1" t="s">
        <v>54</v>
      </c>
      <c r="E165" s="1" t="s">
        <v>55</v>
      </c>
      <c r="F165" s="1" t="s">
        <v>66</v>
      </c>
      <c r="G165" s="1" t="s">
        <v>90</v>
      </c>
      <c r="H165" s="1">
        <v>3</v>
      </c>
      <c r="I165" s="1">
        <v>3056.06</v>
      </c>
      <c r="J165" s="1">
        <v>1923.2</v>
      </c>
      <c r="K165" s="1">
        <v>0.2</v>
      </c>
      <c r="L165" s="1" t="s">
        <v>44</v>
      </c>
    </row>
    <row r="166" ht="15" customHeight="1" spans="1:12">
      <c r="A166" s="1" t="s">
        <v>513</v>
      </c>
      <c r="B166" s="1" t="s">
        <v>514</v>
      </c>
      <c r="C166" s="1" t="s">
        <v>515</v>
      </c>
      <c r="D166" s="1" t="s">
        <v>41</v>
      </c>
      <c r="E166" s="1" t="s">
        <v>42</v>
      </c>
      <c r="F166" s="1" t="s">
        <v>146</v>
      </c>
      <c r="G166" s="1" t="s">
        <v>57</v>
      </c>
      <c r="H166" s="1">
        <v>9</v>
      </c>
      <c r="I166" s="1">
        <v>3558.73</v>
      </c>
      <c r="J166" s="1">
        <v>2249.87</v>
      </c>
      <c r="K166" s="1">
        <v>0.2</v>
      </c>
      <c r="L166" s="1" t="s">
        <v>50</v>
      </c>
    </row>
    <row r="167" ht="15" customHeight="1" spans="1:12">
      <c r="A167" s="1" t="s">
        <v>516</v>
      </c>
      <c r="B167" s="1" t="s">
        <v>517</v>
      </c>
      <c r="C167" s="1" t="s">
        <v>518</v>
      </c>
      <c r="D167" s="1" t="s">
        <v>41</v>
      </c>
      <c r="E167" s="1" t="s">
        <v>24</v>
      </c>
      <c r="F167" s="1" t="s">
        <v>235</v>
      </c>
      <c r="G167" s="1" t="s">
        <v>38</v>
      </c>
      <c r="H167" s="1">
        <v>6</v>
      </c>
      <c r="I167" s="1">
        <v>4627.88</v>
      </c>
      <c r="J167" s="1">
        <v>2970.56</v>
      </c>
      <c r="K167" s="1">
        <v>0</v>
      </c>
      <c r="L167" s="1" t="s">
        <v>44</v>
      </c>
    </row>
    <row r="168" ht="15" customHeight="1" spans="1:12">
      <c r="A168" s="1" t="s">
        <v>519</v>
      </c>
      <c r="B168" s="1" t="s">
        <v>520</v>
      </c>
      <c r="C168" s="1" t="s">
        <v>462</v>
      </c>
      <c r="D168" s="1" t="s">
        <v>80</v>
      </c>
      <c r="E168" s="1" t="s">
        <v>42</v>
      </c>
      <c r="F168" s="1" t="s">
        <v>85</v>
      </c>
      <c r="G168" s="1" t="s">
        <v>18</v>
      </c>
      <c r="H168" s="1">
        <v>4</v>
      </c>
      <c r="I168" s="1">
        <v>3556.93</v>
      </c>
      <c r="J168" s="1">
        <v>1734.43</v>
      </c>
      <c r="K168" s="1">
        <v>0.2</v>
      </c>
      <c r="L168" s="1" t="s">
        <v>26</v>
      </c>
    </row>
    <row r="169" ht="15" customHeight="1" spans="1:12">
      <c r="A169" s="1" t="s">
        <v>521</v>
      </c>
      <c r="B169" s="1" t="s">
        <v>522</v>
      </c>
      <c r="C169" s="1" t="s">
        <v>523</v>
      </c>
      <c r="D169" s="1" t="s">
        <v>41</v>
      </c>
      <c r="E169" s="1" t="s">
        <v>24</v>
      </c>
      <c r="F169" s="1" t="s">
        <v>116</v>
      </c>
      <c r="G169" s="1" t="s">
        <v>112</v>
      </c>
      <c r="H169" s="1">
        <v>2</v>
      </c>
      <c r="I169" s="1">
        <v>4055.21</v>
      </c>
      <c r="J169" s="1">
        <v>1655.96</v>
      </c>
      <c r="K169" s="1">
        <v>0</v>
      </c>
      <c r="L169" s="1" t="s">
        <v>19</v>
      </c>
    </row>
    <row r="170" ht="15" customHeight="1" spans="1:12">
      <c r="A170" s="1" t="s">
        <v>524</v>
      </c>
      <c r="B170" s="1" t="s">
        <v>525</v>
      </c>
      <c r="C170" s="1" t="s">
        <v>526</v>
      </c>
      <c r="D170" s="1" t="s">
        <v>41</v>
      </c>
      <c r="E170" s="1" t="s">
        <v>16</v>
      </c>
      <c r="F170" s="1" t="s">
        <v>49</v>
      </c>
      <c r="G170" s="1" t="s">
        <v>38</v>
      </c>
      <c r="H170" s="1">
        <v>7</v>
      </c>
      <c r="I170" s="1">
        <v>1037.39</v>
      </c>
      <c r="J170" s="1">
        <v>441.22</v>
      </c>
      <c r="K170" s="1">
        <v>0</v>
      </c>
      <c r="L170" s="1" t="s">
        <v>50</v>
      </c>
    </row>
    <row r="171" ht="15" customHeight="1" spans="1:12">
      <c r="A171" s="1" t="s">
        <v>527</v>
      </c>
      <c r="B171" s="1" t="s">
        <v>528</v>
      </c>
      <c r="C171" s="1" t="s">
        <v>500</v>
      </c>
      <c r="D171" s="1" t="s">
        <v>48</v>
      </c>
      <c r="E171" s="1" t="s">
        <v>110</v>
      </c>
      <c r="F171" s="1" t="s">
        <v>94</v>
      </c>
      <c r="G171" s="1" t="s">
        <v>90</v>
      </c>
      <c r="H171" s="1">
        <v>5</v>
      </c>
      <c r="I171" s="1">
        <v>4171.32</v>
      </c>
      <c r="J171" s="1">
        <v>2320.39</v>
      </c>
      <c r="K171" s="1">
        <v>0.05</v>
      </c>
      <c r="L171" s="1" t="s">
        <v>32</v>
      </c>
    </row>
    <row r="172" ht="15" customHeight="1" spans="1:12">
      <c r="A172" s="1" t="s">
        <v>529</v>
      </c>
      <c r="B172" s="1" t="s">
        <v>530</v>
      </c>
      <c r="C172" s="1" t="s">
        <v>531</v>
      </c>
      <c r="D172" s="1" t="s">
        <v>41</v>
      </c>
      <c r="E172" s="1" t="s">
        <v>24</v>
      </c>
      <c r="F172" s="1" t="s">
        <v>124</v>
      </c>
      <c r="G172" s="1" t="s">
        <v>31</v>
      </c>
      <c r="H172" s="1">
        <v>7</v>
      </c>
      <c r="I172" s="1">
        <v>2035.19</v>
      </c>
      <c r="J172" s="1">
        <v>1040.89</v>
      </c>
      <c r="K172" s="1">
        <v>0</v>
      </c>
      <c r="L172" s="1" t="s">
        <v>32</v>
      </c>
    </row>
    <row r="173" ht="15" customHeight="1" spans="1:12">
      <c r="A173" s="1" t="s">
        <v>532</v>
      </c>
      <c r="B173" s="1" t="s">
        <v>533</v>
      </c>
      <c r="C173" s="1" t="s">
        <v>534</v>
      </c>
      <c r="D173" s="1" t="s">
        <v>98</v>
      </c>
      <c r="E173" s="1" t="s">
        <v>55</v>
      </c>
      <c r="F173" s="1" t="s">
        <v>56</v>
      </c>
      <c r="G173" s="1" t="s">
        <v>112</v>
      </c>
      <c r="H173" s="1">
        <v>9</v>
      </c>
      <c r="I173" s="1">
        <v>2266.57</v>
      </c>
      <c r="J173" s="1">
        <v>1210.07</v>
      </c>
      <c r="K173" s="1">
        <v>0.2</v>
      </c>
      <c r="L173" s="1" t="s">
        <v>32</v>
      </c>
    </row>
    <row r="174" ht="15" customHeight="1" spans="1:12">
      <c r="A174" s="1" t="s">
        <v>535</v>
      </c>
      <c r="B174" s="1" t="s">
        <v>408</v>
      </c>
      <c r="C174" s="1" t="s">
        <v>127</v>
      </c>
      <c r="D174" s="1" t="s">
        <v>140</v>
      </c>
      <c r="E174" s="1" t="s">
        <v>16</v>
      </c>
      <c r="F174" s="1" t="s">
        <v>49</v>
      </c>
      <c r="G174" s="1" t="s">
        <v>18</v>
      </c>
      <c r="H174" s="1">
        <v>4</v>
      </c>
      <c r="I174" s="1">
        <v>4098.77</v>
      </c>
      <c r="J174" s="1">
        <v>1768.81</v>
      </c>
      <c r="K174" s="1">
        <v>0.05</v>
      </c>
      <c r="L174" s="1" t="s">
        <v>136</v>
      </c>
    </row>
    <row r="175" ht="15" customHeight="1" spans="1:12">
      <c r="A175" s="1" t="s">
        <v>536</v>
      </c>
      <c r="B175" s="1" t="s">
        <v>379</v>
      </c>
      <c r="C175" s="1" t="s">
        <v>537</v>
      </c>
      <c r="D175" s="1" t="s">
        <v>48</v>
      </c>
      <c r="E175" s="1" t="s">
        <v>61</v>
      </c>
      <c r="F175" s="1" t="s">
        <v>120</v>
      </c>
      <c r="G175" s="1" t="s">
        <v>90</v>
      </c>
      <c r="H175" s="1">
        <v>12</v>
      </c>
      <c r="I175" s="1">
        <v>3227.37</v>
      </c>
      <c r="J175" s="1">
        <v>1712.57</v>
      </c>
      <c r="K175" s="1">
        <v>0.05</v>
      </c>
      <c r="L175" s="1" t="s">
        <v>32</v>
      </c>
    </row>
    <row r="176" ht="15" customHeight="1" spans="1:12">
      <c r="A176" s="1" t="s">
        <v>538</v>
      </c>
      <c r="B176" s="1" t="s">
        <v>539</v>
      </c>
      <c r="C176" s="1" t="s">
        <v>540</v>
      </c>
      <c r="D176" s="1" t="s">
        <v>48</v>
      </c>
      <c r="E176" s="1" t="s">
        <v>145</v>
      </c>
      <c r="F176" s="1" t="s">
        <v>146</v>
      </c>
      <c r="G176" s="1" t="s">
        <v>57</v>
      </c>
      <c r="H176" s="1">
        <v>8</v>
      </c>
      <c r="I176" s="1">
        <v>2987.51</v>
      </c>
      <c r="J176" s="1">
        <v>1548.31</v>
      </c>
      <c r="K176" s="1">
        <v>0</v>
      </c>
      <c r="L176" s="1" t="s">
        <v>50</v>
      </c>
    </row>
    <row r="177" ht="15" customHeight="1" spans="1:12">
      <c r="A177" s="1" t="s">
        <v>541</v>
      </c>
      <c r="B177" s="1" t="s">
        <v>542</v>
      </c>
      <c r="C177" s="1" t="s">
        <v>452</v>
      </c>
      <c r="D177" s="1" t="s">
        <v>80</v>
      </c>
      <c r="E177" s="1" t="s">
        <v>16</v>
      </c>
      <c r="F177" s="1" t="s">
        <v>102</v>
      </c>
      <c r="G177" s="1" t="s">
        <v>31</v>
      </c>
      <c r="H177" s="1">
        <v>5</v>
      </c>
      <c r="I177" s="1">
        <v>4260.38</v>
      </c>
      <c r="J177" s="1">
        <v>2618.25</v>
      </c>
      <c r="K177" s="1">
        <v>0.15</v>
      </c>
      <c r="L177" s="1" t="s">
        <v>44</v>
      </c>
    </row>
    <row r="178" ht="15" customHeight="1" spans="1:12">
      <c r="A178" s="1" t="s">
        <v>543</v>
      </c>
      <c r="B178" s="1" t="s">
        <v>544</v>
      </c>
      <c r="C178" s="1" t="s">
        <v>540</v>
      </c>
      <c r="D178" s="1" t="s">
        <v>153</v>
      </c>
      <c r="E178" s="1" t="s">
        <v>42</v>
      </c>
      <c r="F178" s="1" t="s">
        <v>89</v>
      </c>
      <c r="G178" s="1" t="s">
        <v>90</v>
      </c>
      <c r="H178" s="1">
        <v>9</v>
      </c>
      <c r="I178" s="1">
        <v>4019</v>
      </c>
      <c r="J178" s="1">
        <v>1673.53</v>
      </c>
      <c r="K178" s="1">
        <v>0.15</v>
      </c>
      <c r="L178" s="1" t="s">
        <v>50</v>
      </c>
    </row>
    <row r="179" ht="15" customHeight="1" spans="1:12">
      <c r="A179" s="1" t="s">
        <v>545</v>
      </c>
      <c r="B179" s="1" t="s">
        <v>294</v>
      </c>
      <c r="C179" s="1" t="s">
        <v>546</v>
      </c>
      <c r="D179" s="1" t="s">
        <v>48</v>
      </c>
      <c r="E179" s="1" t="s">
        <v>61</v>
      </c>
      <c r="F179" s="1" t="s">
        <v>111</v>
      </c>
      <c r="G179" s="1" t="s">
        <v>38</v>
      </c>
      <c r="H179" s="1">
        <v>7</v>
      </c>
      <c r="I179" s="1">
        <v>3285.43</v>
      </c>
      <c r="J179" s="1">
        <v>1415.92</v>
      </c>
      <c r="K179" s="1">
        <v>0</v>
      </c>
      <c r="L179" s="1" t="s">
        <v>50</v>
      </c>
    </row>
    <row r="180" ht="15" customHeight="1" spans="1:12">
      <c r="A180" s="1" t="s">
        <v>547</v>
      </c>
      <c r="B180" s="1" t="s">
        <v>548</v>
      </c>
      <c r="D180" s="1" t="s">
        <v>98</v>
      </c>
      <c r="E180" s="1" t="s">
        <v>16</v>
      </c>
      <c r="F180" s="1" t="s">
        <v>49</v>
      </c>
      <c r="G180" s="1" t="s">
        <v>18</v>
      </c>
      <c r="H180" s="1">
        <v>10</v>
      </c>
      <c r="J180" s="1">
        <v>1798.08</v>
      </c>
      <c r="K180" s="1">
        <v>0</v>
      </c>
      <c r="L180" s="1" t="s">
        <v>136</v>
      </c>
    </row>
    <row r="181" ht="15" customHeight="1" spans="1:12">
      <c r="A181" s="1" t="s">
        <v>549</v>
      </c>
      <c r="B181" s="1" t="s">
        <v>87</v>
      </c>
      <c r="C181" s="1" t="s">
        <v>531</v>
      </c>
      <c r="D181" s="1" t="s">
        <v>80</v>
      </c>
      <c r="E181" s="1" t="s">
        <v>61</v>
      </c>
      <c r="F181" s="1" t="s">
        <v>120</v>
      </c>
      <c r="G181" s="1" t="s">
        <v>57</v>
      </c>
      <c r="H181" s="1">
        <v>12</v>
      </c>
      <c r="I181" s="1">
        <v>3319.88</v>
      </c>
      <c r="J181" s="1">
        <v>1679.7</v>
      </c>
      <c r="K181" s="1">
        <v>0.05</v>
      </c>
      <c r="L181" s="1" t="s">
        <v>32</v>
      </c>
    </row>
    <row r="182" ht="15" customHeight="1" spans="1:12">
      <c r="A182" s="1" t="s">
        <v>550</v>
      </c>
      <c r="B182" s="1" t="s">
        <v>551</v>
      </c>
      <c r="C182" s="1" t="s">
        <v>552</v>
      </c>
      <c r="D182" s="1" t="s">
        <v>80</v>
      </c>
      <c r="E182" s="1" t="s">
        <v>24</v>
      </c>
      <c r="F182" s="1" t="s">
        <v>131</v>
      </c>
      <c r="G182" s="1" t="s">
        <v>31</v>
      </c>
      <c r="H182" s="1">
        <v>11</v>
      </c>
      <c r="I182" s="1">
        <v>807.09</v>
      </c>
      <c r="J182" s="1">
        <v>335.72</v>
      </c>
      <c r="K182" s="1">
        <v>0</v>
      </c>
      <c r="L182" s="1" t="s">
        <v>136</v>
      </c>
    </row>
    <row r="183" ht="15" customHeight="1" spans="1:12">
      <c r="A183" s="1" t="s">
        <v>553</v>
      </c>
      <c r="B183" s="1" t="s">
        <v>554</v>
      </c>
      <c r="C183" s="1" t="s">
        <v>555</v>
      </c>
      <c r="D183" s="1" t="s">
        <v>54</v>
      </c>
      <c r="E183" s="1" t="s">
        <v>61</v>
      </c>
      <c r="F183" s="1" t="s">
        <v>62</v>
      </c>
      <c r="G183" s="1" t="s">
        <v>57</v>
      </c>
      <c r="H183" s="1">
        <v>8</v>
      </c>
      <c r="I183" s="1">
        <v>4987.1</v>
      </c>
      <c r="J183" s="1">
        <v>2318.29</v>
      </c>
      <c r="K183" s="1">
        <v>0.05</v>
      </c>
      <c r="L183" s="1" t="s">
        <v>19</v>
      </c>
    </row>
    <row r="184" ht="15" customHeight="1" spans="1:12">
      <c r="A184" s="1" t="s">
        <v>556</v>
      </c>
      <c r="B184" s="1" t="s">
        <v>349</v>
      </c>
      <c r="C184" s="1" t="s">
        <v>557</v>
      </c>
      <c r="D184" s="1" t="s">
        <v>80</v>
      </c>
      <c r="E184" s="1" t="s">
        <v>61</v>
      </c>
      <c r="F184" s="1" t="s">
        <v>120</v>
      </c>
      <c r="G184" s="1" t="s">
        <v>18</v>
      </c>
      <c r="H184" s="1">
        <v>11</v>
      </c>
      <c r="I184" s="1">
        <v>4418.53</v>
      </c>
      <c r="J184" s="1">
        <v>1967.5</v>
      </c>
      <c r="K184" s="1">
        <v>0</v>
      </c>
      <c r="L184" s="1" t="s">
        <v>44</v>
      </c>
    </row>
    <row r="185" ht="15" customHeight="1" spans="1:12">
      <c r="A185" s="1" t="s">
        <v>558</v>
      </c>
      <c r="B185" s="1" t="s">
        <v>441</v>
      </c>
      <c r="C185" s="1" t="s">
        <v>559</v>
      </c>
      <c r="D185" s="1" t="s">
        <v>15</v>
      </c>
      <c r="E185" s="1" t="s">
        <v>42</v>
      </c>
      <c r="F185" s="1" t="s">
        <v>146</v>
      </c>
      <c r="G185" s="1" t="s">
        <v>31</v>
      </c>
      <c r="H185" s="1">
        <v>10</v>
      </c>
      <c r="I185" s="1">
        <v>1681.04</v>
      </c>
      <c r="J185" s="1">
        <v>1030.15</v>
      </c>
      <c r="K185" s="1">
        <v>0.05</v>
      </c>
      <c r="L185" s="1" t="s">
        <v>50</v>
      </c>
    </row>
    <row r="186" ht="15" customHeight="1" spans="1:12">
      <c r="A186" s="1" t="s">
        <v>560</v>
      </c>
      <c r="B186" s="1" t="s">
        <v>561</v>
      </c>
      <c r="D186" s="1" t="s">
        <v>80</v>
      </c>
      <c r="E186" s="1" t="s">
        <v>55</v>
      </c>
      <c r="F186" s="1" t="s">
        <v>81</v>
      </c>
      <c r="G186" s="1" t="s">
        <v>112</v>
      </c>
      <c r="H186" s="1">
        <v>10</v>
      </c>
      <c r="I186" s="1">
        <v>4495.37</v>
      </c>
      <c r="J186" s="1">
        <v>2906.99</v>
      </c>
      <c r="K186" s="1">
        <v>0</v>
      </c>
      <c r="L186" s="1" t="s">
        <v>19</v>
      </c>
    </row>
    <row r="187" ht="15" customHeight="1" spans="1:12">
      <c r="A187" s="1" t="s">
        <v>562</v>
      </c>
      <c r="B187" s="1" t="s">
        <v>563</v>
      </c>
      <c r="C187" s="1" t="s">
        <v>462</v>
      </c>
      <c r="D187" s="1" t="s">
        <v>41</v>
      </c>
      <c r="E187" s="1" t="s">
        <v>145</v>
      </c>
      <c r="F187" s="1" t="s">
        <v>85</v>
      </c>
      <c r="G187" s="1" t="s">
        <v>38</v>
      </c>
      <c r="H187" s="1">
        <v>7</v>
      </c>
      <c r="I187" s="1">
        <v>3276.39</v>
      </c>
      <c r="J187" s="1">
        <v>1640.97</v>
      </c>
      <c r="K187" s="1">
        <v>0.05</v>
      </c>
      <c r="L187" s="1" t="s">
        <v>50</v>
      </c>
    </row>
    <row r="188" ht="15" customHeight="1" spans="1:12">
      <c r="A188" s="1" t="s">
        <v>564</v>
      </c>
      <c r="B188" s="1" t="s">
        <v>565</v>
      </c>
      <c r="C188" s="1" t="s">
        <v>275</v>
      </c>
      <c r="D188" s="1" t="s">
        <v>41</v>
      </c>
      <c r="E188" s="1" t="s">
        <v>61</v>
      </c>
      <c r="F188" s="1" t="s">
        <v>111</v>
      </c>
      <c r="G188" s="1" t="s">
        <v>90</v>
      </c>
      <c r="H188" s="1">
        <v>7</v>
      </c>
      <c r="I188" s="1">
        <v>2664.68</v>
      </c>
      <c r="J188" s="1">
        <v>1269.8</v>
      </c>
      <c r="K188" s="1">
        <v>0</v>
      </c>
      <c r="L188" s="1" t="s">
        <v>26</v>
      </c>
    </row>
    <row r="189" ht="15" customHeight="1" spans="1:12">
      <c r="A189" s="1" t="s">
        <v>566</v>
      </c>
      <c r="B189" s="1" t="s">
        <v>362</v>
      </c>
      <c r="C189" s="1" t="s">
        <v>478</v>
      </c>
      <c r="D189" s="1" t="s">
        <v>41</v>
      </c>
      <c r="E189" s="1" t="s">
        <v>42</v>
      </c>
      <c r="F189" s="1" t="s">
        <v>85</v>
      </c>
      <c r="G189" s="1" t="s">
        <v>18</v>
      </c>
      <c r="H189" s="1">
        <v>12</v>
      </c>
      <c r="I189" s="1">
        <v>4927.93</v>
      </c>
      <c r="J189" s="1">
        <v>2231.35</v>
      </c>
      <c r="K189" s="1">
        <v>0</v>
      </c>
      <c r="L189" s="1" t="s">
        <v>44</v>
      </c>
    </row>
    <row r="190" ht="15" customHeight="1" spans="1:12">
      <c r="A190" s="1" t="s">
        <v>567</v>
      </c>
      <c r="B190" s="1" t="s">
        <v>568</v>
      </c>
      <c r="C190" s="1" t="s">
        <v>353</v>
      </c>
      <c r="D190" s="1" t="s">
        <v>54</v>
      </c>
      <c r="E190" s="1" t="s">
        <v>16</v>
      </c>
      <c r="F190" s="1" t="s">
        <v>17</v>
      </c>
      <c r="G190" s="1" t="s">
        <v>112</v>
      </c>
      <c r="H190" s="1">
        <v>8</v>
      </c>
      <c r="I190" s="1">
        <v>2086.19</v>
      </c>
      <c r="J190" s="1">
        <v>1119.91</v>
      </c>
      <c r="K190" s="1">
        <v>0.05</v>
      </c>
      <c r="L190" s="1" t="s">
        <v>136</v>
      </c>
    </row>
    <row r="191" ht="15" customHeight="1" spans="1:12">
      <c r="A191" s="1" t="s">
        <v>569</v>
      </c>
      <c r="B191" s="1" t="s">
        <v>570</v>
      </c>
      <c r="C191" s="1" t="s">
        <v>320</v>
      </c>
      <c r="D191" s="1" t="s">
        <v>80</v>
      </c>
      <c r="E191" s="1" t="s">
        <v>343</v>
      </c>
      <c r="F191" s="1" t="s">
        <v>235</v>
      </c>
      <c r="G191" s="1" t="s">
        <v>90</v>
      </c>
      <c r="I191" s="1">
        <v>2638.37</v>
      </c>
      <c r="J191" s="1">
        <v>1457.04</v>
      </c>
      <c r="K191" s="1">
        <v>0.2</v>
      </c>
      <c r="L191" s="1" t="s">
        <v>44</v>
      </c>
    </row>
    <row r="192" ht="15" customHeight="1" spans="1:12">
      <c r="A192" s="1" t="s">
        <v>571</v>
      </c>
      <c r="B192" s="1" t="s">
        <v>572</v>
      </c>
      <c r="C192" s="1" t="s">
        <v>436</v>
      </c>
      <c r="D192" s="1" t="s">
        <v>48</v>
      </c>
      <c r="E192" s="1" t="s">
        <v>16</v>
      </c>
      <c r="F192" s="1" t="s">
        <v>37</v>
      </c>
      <c r="G192" s="1" t="s">
        <v>18</v>
      </c>
      <c r="H192" s="1">
        <v>2</v>
      </c>
      <c r="I192" s="1">
        <v>3962.77</v>
      </c>
      <c r="J192" s="1">
        <v>1659.46</v>
      </c>
      <c r="K192" s="1">
        <v>0.15</v>
      </c>
      <c r="L192" s="1" t="s">
        <v>32</v>
      </c>
    </row>
    <row r="193" ht="15" customHeight="1" spans="1:12">
      <c r="A193" s="1" t="s">
        <v>573</v>
      </c>
      <c r="B193" s="1" t="s">
        <v>277</v>
      </c>
      <c r="C193" s="1" t="s">
        <v>574</v>
      </c>
      <c r="D193" s="1" t="s">
        <v>54</v>
      </c>
      <c r="E193" s="1" t="s">
        <v>42</v>
      </c>
      <c r="F193" s="1" t="s">
        <v>85</v>
      </c>
      <c r="G193" s="1" t="s">
        <v>90</v>
      </c>
      <c r="H193" s="1">
        <v>1</v>
      </c>
      <c r="I193" s="1">
        <v>4303.39</v>
      </c>
      <c r="J193" s="1">
        <v>2435.02</v>
      </c>
      <c r="K193" s="1">
        <v>0</v>
      </c>
      <c r="L193" s="1" t="s">
        <v>26</v>
      </c>
    </row>
    <row r="194" ht="15" customHeight="1" spans="1:12">
      <c r="A194" s="1" t="s">
        <v>575</v>
      </c>
      <c r="B194" s="1" t="s">
        <v>576</v>
      </c>
      <c r="C194" s="1" t="s">
        <v>577</v>
      </c>
      <c r="D194" s="1" t="s">
        <v>41</v>
      </c>
      <c r="E194" s="1" t="s">
        <v>42</v>
      </c>
      <c r="F194" s="1" t="s">
        <v>43</v>
      </c>
      <c r="G194" s="1" t="s">
        <v>90</v>
      </c>
      <c r="H194" s="1">
        <v>3</v>
      </c>
      <c r="I194" s="1">
        <v>3571</v>
      </c>
      <c r="J194" s="1">
        <v>1480.76</v>
      </c>
      <c r="K194" s="1">
        <v>0.2</v>
      </c>
      <c r="L194" s="1" t="s">
        <v>50</v>
      </c>
    </row>
    <row r="195" ht="15" customHeight="1" spans="1:12">
      <c r="A195" s="1" t="s">
        <v>578</v>
      </c>
      <c r="B195" s="1" t="s">
        <v>78</v>
      </c>
      <c r="C195" s="1" t="s">
        <v>579</v>
      </c>
      <c r="D195" s="1" t="s">
        <v>48</v>
      </c>
      <c r="E195" s="1" t="s">
        <v>55</v>
      </c>
      <c r="F195" s="1" t="s">
        <v>141</v>
      </c>
      <c r="G195" s="1" t="s">
        <v>90</v>
      </c>
      <c r="H195" s="1">
        <v>7</v>
      </c>
      <c r="I195" s="1">
        <v>2370.23</v>
      </c>
      <c r="J195" s="1">
        <v>985.62</v>
      </c>
      <c r="K195" s="1">
        <v>0.15</v>
      </c>
      <c r="L195" s="1" t="s">
        <v>136</v>
      </c>
    </row>
    <row r="196" ht="15" customHeight="1" spans="1:12">
      <c r="A196" s="1" t="s">
        <v>580</v>
      </c>
      <c r="B196" s="1" t="s">
        <v>581</v>
      </c>
      <c r="C196" s="1" t="s">
        <v>189</v>
      </c>
      <c r="D196" s="1" t="s">
        <v>48</v>
      </c>
      <c r="E196" s="1" t="s">
        <v>42</v>
      </c>
      <c r="F196" s="1" t="s">
        <v>158</v>
      </c>
      <c r="G196" s="1" t="s">
        <v>31</v>
      </c>
      <c r="H196" s="1">
        <v>11</v>
      </c>
      <c r="I196" s="1">
        <v>3477.59</v>
      </c>
      <c r="J196" s="1">
        <v>1725.65</v>
      </c>
      <c r="K196" s="1">
        <v>0.2</v>
      </c>
      <c r="L196" s="1" t="s">
        <v>32</v>
      </c>
    </row>
    <row r="197" ht="15" customHeight="1" spans="1:12">
      <c r="A197" s="1" t="s">
        <v>582</v>
      </c>
      <c r="B197" s="1" t="s">
        <v>583</v>
      </c>
      <c r="C197" s="1" t="s">
        <v>481</v>
      </c>
      <c r="D197" s="1" t="s">
        <v>226</v>
      </c>
      <c r="E197" s="1" t="s">
        <v>24</v>
      </c>
      <c r="F197" s="1" t="s">
        <v>124</v>
      </c>
      <c r="G197" s="1" t="s">
        <v>18</v>
      </c>
      <c r="I197" s="1">
        <v>2456.74</v>
      </c>
      <c r="J197" s="1">
        <v>1474.82</v>
      </c>
      <c r="K197" s="1">
        <v>0.05</v>
      </c>
      <c r="L197" s="1" t="s">
        <v>44</v>
      </c>
    </row>
    <row r="198" ht="15" customHeight="1" spans="1:12">
      <c r="A198" s="1" t="s">
        <v>584</v>
      </c>
      <c r="B198" s="1" t="s">
        <v>585</v>
      </c>
      <c r="C198" s="1" t="s">
        <v>305</v>
      </c>
      <c r="D198" s="1" t="s">
        <v>80</v>
      </c>
      <c r="E198" s="1" t="s">
        <v>24</v>
      </c>
      <c r="F198" s="1" t="s">
        <v>131</v>
      </c>
      <c r="G198" s="1" t="s">
        <v>38</v>
      </c>
      <c r="H198" s="1">
        <v>9</v>
      </c>
      <c r="I198" s="1">
        <v>1271.2</v>
      </c>
      <c r="J198" s="1">
        <v>721.87</v>
      </c>
      <c r="K198" s="1">
        <v>0</v>
      </c>
      <c r="L198" s="1" t="s">
        <v>32</v>
      </c>
    </row>
    <row r="199" ht="15" customHeight="1" spans="1:12">
      <c r="A199" s="1" t="s">
        <v>586</v>
      </c>
      <c r="B199" s="1" t="s">
        <v>587</v>
      </c>
      <c r="C199" s="1" t="s">
        <v>588</v>
      </c>
      <c r="D199" s="1" t="s">
        <v>80</v>
      </c>
      <c r="E199" s="1" t="s">
        <v>16</v>
      </c>
      <c r="F199" s="1" t="s">
        <v>102</v>
      </c>
      <c r="G199" s="1" t="s">
        <v>57</v>
      </c>
      <c r="H199" s="1">
        <v>5</v>
      </c>
      <c r="I199" s="1">
        <v>2873.15</v>
      </c>
      <c r="J199" s="1">
        <v>1417.82</v>
      </c>
      <c r="K199" s="1">
        <v>0</v>
      </c>
      <c r="L199" s="1" t="s">
        <v>32</v>
      </c>
    </row>
    <row r="200" ht="15" customHeight="1" spans="1:12">
      <c r="A200" s="1" t="s">
        <v>589</v>
      </c>
      <c r="B200" s="1" t="s">
        <v>590</v>
      </c>
      <c r="C200" s="1" t="s">
        <v>591</v>
      </c>
      <c r="D200" s="1" t="s">
        <v>54</v>
      </c>
      <c r="E200" s="1" t="s">
        <v>55</v>
      </c>
      <c r="F200" s="1" t="s">
        <v>66</v>
      </c>
      <c r="G200" s="1" t="s">
        <v>112</v>
      </c>
      <c r="H200" s="1">
        <v>1</v>
      </c>
      <c r="I200" s="1">
        <v>4654.14</v>
      </c>
      <c r="J200" s="1">
        <v>2836.08</v>
      </c>
      <c r="K200" s="1">
        <v>0.1</v>
      </c>
      <c r="L200" s="1" t="s">
        <v>136</v>
      </c>
    </row>
    <row r="201" ht="15" customHeight="1" spans="1:12">
      <c r="A201" s="1" t="s">
        <v>592</v>
      </c>
      <c r="B201" s="1" t="s">
        <v>593</v>
      </c>
      <c r="C201" s="1" t="s">
        <v>594</v>
      </c>
      <c r="D201" s="1" t="s">
        <v>41</v>
      </c>
      <c r="E201" s="1" t="s">
        <v>55</v>
      </c>
      <c r="F201" s="1" t="s">
        <v>56</v>
      </c>
      <c r="G201" s="1" t="s">
        <v>57</v>
      </c>
      <c r="H201" s="1">
        <v>3</v>
      </c>
      <c r="I201" s="1">
        <v>785.7</v>
      </c>
      <c r="J201" s="1">
        <v>443.43</v>
      </c>
      <c r="K201" s="1">
        <v>0.1</v>
      </c>
      <c r="L201" s="1" t="s">
        <v>26</v>
      </c>
    </row>
    <row r="202" ht="15" customHeight="1" spans="1:12">
      <c r="A202" s="1" t="s">
        <v>595</v>
      </c>
      <c r="B202" s="1" t="s">
        <v>596</v>
      </c>
      <c r="C202" s="1" t="s">
        <v>597</v>
      </c>
      <c r="D202" s="1" t="s">
        <v>80</v>
      </c>
      <c r="E202" s="1" t="s">
        <v>24</v>
      </c>
      <c r="F202" s="1" t="s">
        <v>131</v>
      </c>
      <c r="G202" s="1" t="s">
        <v>57</v>
      </c>
      <c r="H202" s="1">
        <v>9</v>
      </c>
      <c r="I202" s="1">
        <v>4344.33</v>
      </c>
      <c r="J202" s="1">
        <v>2510.89</v>
      </c>
      <c r="K202" s="1">
        <v>0.1</v>
      </c>
      <c r="L202" s="1" t="s">
        <v>50</v>
      </c>
    </row>
    <row r="203" ht="15" customHeight="1" spans="1:12">
      <c r="A203" s="1" t="s">
        <v>598</v>
      </c>
      <c r="B203" s="1" t="s">
        <v>599</v>
      </c>
      <c r="C203" s="1" t="s">
        <v>600</v>
      </c>
      <c r="D203" s="1" t="s">
        <v>239</v>
      </c>
      <c r="E203" s="1" t="s">
        <v>70</v>
      </c>
      <c r="F203" s="1" t="s">
        <v>102</v>
      </c>
      <c r="G203" s="1" t="s">
        <v>112</v>
      </c>
      <c r="H203" s="1">
        <v>10</v>
      </c>
      <c r="I203" s="1">
        <v>2981</v>
      </c>
      <c r="J203" s="1">
        <v>1689.6</v>
      </c>
      <c r="K203" s="1">
        <v>0.05</v>
      </c>
      <c r="L203" s="1" t="s">
        <v>19</v>
      </c>
    </row>
    <row r="204" ht="15" customHeight="1" spans="1:12">
      <c r="A204" s="1" t="s">
        <v>601</v>
      </c>
      <c r="B204" s="1" t="s">
        <v>602</v>
      </c>
      <c r="D204" s="1" t="s">
        <v>41</v>
      </c>
      <c r="E204" s="1" t="s">
        <v>16</v>
      </c>
      <c r="F204" s="1" t="s">
        <v>102</v>
      </c>
      <c r="G204" s="1" t="s">
        <v>38</v>
      </c>
      <c r="H204" s="1">
        <v>1</v>
      </c>
      <c r="I204" s="1">
        <v>1984.81</v>
      </c>
      <c r="J204" s="1">
        <v>1018.5</v>
      </c>
      <c r="K204" s="1">
        <v>0.1</v>
      </c>
      <c r="L204" s="1" t="s">
        <v>32</v>
      </c>
    </row>
    <row r="205" ht="15" customHeight="1" spans="1:12">
      <c r="A205" s="1" t="s">
        <v>603</v>
      </c>
      <c r="B205" s="1" t="s">
        <v>604</v>
      </c>
      <c r="C205" s="1" t="s">
        <v>605</v>
      </c>
      <c r="D205" s="1" t="s">
        <v>54</v>
      </c>
      <c r="E205" s="1" t="s">
        <v>24</v>
      </c>
      <c r="F205" s="1" t="s">
        <v>235</v>
      </c>
      <c r="G205" s="1" t="s">
        <v>57</v>
      </c>
      <c r="H205" s="1">
        <v>5</v>
      </c>
      <c r="I205" s="1">
        <v>1253.51</v>
      </c>
      <c r="J205" s="1">
        <v>773.68</v>
      </c>
      <c r="K205" s="1">
        <v>0.2</v>
      </c>
      <c r="L205" s="1" t="s">
        <v>136</v>
      </c>
    </row>
    <row r="206" ht="15" customHeight="1" spans="1:12">
      <c r="A206" s="1" t="s">
        <v>606</v>
      </c>
      <c r="B206" s="1" t="s">
        <v>607</v>
      </c>
      <c r="D206" s="1" t="s">
        <v>36</v>
      </c>
      <c r="E206" s="1" t="s">
        <v>16</v>
      </c>
      <c r="F206" s="1" t="s">
        <v>174</v>
      </c>
      <c r="G206" s="1" t="s">
        <v>57</v>
      </c>
      <c r="H206" s="1">
        <v>9</v>
      </c>
      <c r="I206" s="1">
        <v>859.96</v>
      </c>
      <c r="J206" s="1">
        <v>352.72</v>
      </c>
      <c r="K206" s="1">
        <v>0</v>
      </c>
      <c r="L206" s="1" t="s">
        <v>50</v>
      </c>
    </row>
    <row r="207" ht="15" customHeight="1" spans="1:12">
      <c r="A207" s="1" t="s">
        <v>608</v>
      </c>
      <c r="B207" s="1" t="s">
        <v>609</v>
      </c>
      <c r="C207" s="1" t="s">
        <v>610</v>
      </c>
      <c r="D207" s="1" t="s">
        <v>30</v>
      </c>
      <c r="E207" s="1" t="s">
        <v>61</v>
      </c>
      <c r="F207" s="1" t="s">
        <v>106</v>
      </c>
      <c r="G207" s="1" t="s">
        <v>38</v>
      </c>
      <c r="H207" s="1">
        <v>6</v>
      </c>
      <c r="I207" s="1">
        <v>641.54</v>
      </c>
      <c r="J207" s="1">
        <v>370.12</v>
      </c>
      <c r="K207" s="1">
        <v>0.1</v>
      </c>
      <c r="L207" s="1" t="s">
        <v>19</v>
      </c>
    </row>
    <row r="208" ht="15" customHeight="1" spans="1:12">
      <c r="A208" s="1" t="s">
        <v>611</v>
      </c>
      <c r="B208" s="1" t="s">
        <v>612</v>
      </c>
      <c r="C208" s="1" t="s">
        <v>251</v>
      </c>
      <c r="D208" s="1" t="s">
        <v>193</v>
      </c>
      <c r="E208" s="1" t="s">
        <v>24</v>
      </c>
      <c r="F208" s="1" t="s">
        <v>131</v>
      </c>
      <c r="G208" s="1" t="s">
        <v>38</v>
      </c>
      <c r="H208" s="1">
        <v>11</v>
      </c>
      <c r="J208" s="1">
        <v>193.08</v>
      </c>
      <c r="K208" s="1">
        <v>0.05</v>
      </c>
      <c r="L208" s="1" t="s">
        <v>50</v>
      </c>
    </row>
    <row r="209" ht="15" customHeight="1" spans="1:12">
      <c r="A209" s="1" t="s">
        <v>613</v>
      </c>
      <c r="B209" s="1" t="s">
        <v>614</v>
      </c>
      <c r="D209" s="1" t="s">
        <v>30</v>
      </c>
      <c r="E209" s="1" t="s">
        <v>24</v>
      </c>
      <c r="F209" s="1" t="s">
        <v>25</v>
      </c>
      <c r="G209" s="1" t="s">
        <v>38</v>
      </c>
      <c r="H209" s="1">
        <v>8</v>
      </c>
      <c r="I209" s="1">
        <v>2586.98</v>
      </c>
      <c r="J209" s="1">
        <v>1226.51</v>
      </c>
      <c r="K209" s="1">
        <v>0.15</v>
      </c>
      <c r="L209" s="1" t="s">
        <v>19</v>
      </c>
    </row>
    <row r="210" ht="15" customHeight="1" spans="1:12">
      <c r="A210" s="1" t="s">
        <v>615</v>
      </c>
      <c r="B210" s="1" t="s">
        <v>616</v>
      </c>
      <c r="C210" s="1" t="s">
        <v>617</v>
      </c>
      <c r="D210" s="1" t="s">
        <v>36</v>
      </c>
      <c r="E210" s="1" t="s">
        <v>145</v>
      </c>
      <c r="F210" s="1" t="s">
        <v>85</v>
      </c>
      <c r="G210" s="1" t="s">
        <v>38</v>
      </c>
      <c r="H210" s="1">
        <v>12</v>
      </c>
      <c r="I210" s="1">
        <v>4428.59</v>
      </c>
      <c r="J210" s="1">
        <v>2592.25</v>
      </c>
      <c r="K210" s="1">
        <v>0.05</v>
      </c>
      <c r="L210" s="1" t="s">
        <v>26</v>
      </c>
    </row>
    <row r="211" ht="15" customHeight="1" spans="1:12">
      <c r="A211" s="1" t="s">
        <v>618</v>
      </c>
      <c r="B211" s="1" t="s">
        <v>619</v>
      </c>
      <c r="C211" s="1" t="s">
        <v>329</v>
      </c>
      <c r="D211" s="1" t="s">
        <v>48</v>
      </c>
      <c r="E211" s="1" t="s">
        <v>42</v>
      </c>
      <c r="F211" s="1" t="s">
        <v>43</v>
      </c>
      <c r="G211" s="1" t="s">
        <v>31</v>
      </c>
      <c r="H211" s="1">
        <v>1</v>
      </c>
      <c r="I211" s="1">
        <v>2129.66</v>
      </c>
      <c r="J211" s="1">
        <v>914.85</v>
      </c>
      <c r="K211" s="1">
        <v>0</v>
      </c>
      <c r="L211" s="1" t="s">
        <v>136</v>
      </c>
    </row>
    <row r="212" ht="15" customHeight="1" spans="1:12">
      <c r="A212" s="1" t="s">
        <v>620</v>
      </c>
      <c r="B212" s="1" t="s">
        <v>213</v>
      </c>
      <c r="C212" s="1" t="s">
        <v>621</v>
      </c>
      <c r="D212" s="1" t="s">
        <v>41</v>
      </c>
      <c r="E212" s="1" t="s">
        <v>16</v>
      </c>
      <c r="F212" s="1" t="s">
        <v>49</v>
      </c>
      <c r="G212" s="1" t="s">
        <v>38</v>
      </c>
      <c r="H212" s="1">
        <v>4</v>
      </c>
      <c r="I212" s="1">
        <v>939.99</v>
      </c>
      <c r="J212" s="1">
        <v>467.88</v>
      </c>
      <c r="K212" s="1">
        <v>0.2</v>
      </c>
      <c r="L212" s="1" t="s">
        <v>136</v>
      </c>
    </row>
    <row r="213" ht="15" customHeight="1" spans="1:12">
      <c r="A213" s="1" t="s">
        <v>622</v>
      </c>
      <c r="B213" s="1" t="s">
        <v>623</v>
      </c>
      <c r="C213" s="1" t="s">
        <v>624</v>
      </c>
      <c r="D213" s="1" t="s">
        <v>193</v>
      </c>
      <c r="E213" s="1" t="s">
        <v>24</v>
      </c>
      <c r="F213" s="1" t="s">
        <v>131</v>
      </c>
      <c r="G213" s="1" t="s">
        <v>38</v>
      </c>
      <c r="H213" s="1">
        <v>9</v>
      </c>
      <c r="I213" s="1">
        <v>4749.8</v>
      </c>
      <c r="J213" s="1">
        <v>2261.73</v>
      </c>
      <c r="K213" s="1">
        <v>0.15</v>
      </c>
      <c r="L213" s="1" t="s">
        <v>136</v>
      </c>
    </row>
    <row r="214" ht="15" customHeight="1" spans="1:12">
      <c r="A214" s="1" t="s">
        <v>625</v>
      </c>
      <c r="B214" s="1" t="s">
        <v>626</v>
      </c>
      <c r="C214" s="1" t="s">
        <v>627</v>
      </c>
      <c r="D214" s="1" t="s">
        <v>30</v>
      </c>
      <c r="E214" s="1" t="s">
        <v>24</v>
      </c>
      <c r="F214" s="1" t="s">
        <v>124</v>
      </c>
      <c r="G214" s="1" t="s">
        <v>90</v>
      </c>
      <c r="H214" s="1">
        <v>5</v>
      </c>
      <c r="I214" s="1">
        <v>3455.92</v>
      </c>
      <c r="J214" s="1">
        <v>1598.96</v>
      </c>
      <c r="K214" s="1">
        <v>0</v>
      </c>
      <c r="L214" s="1" t="s">
        <v>32</v>
      </c>
    </row>
    <row r="215" ht="15" customHeight="1" spans="1:12">
      <c r="A215" s="1" t="s">
        <v>628</v>
      </c>
      <c r="B215" s="1" t="s">
        <v>629</v>
      </c>
      <c r="C215" s="1" t="s">
        <v>630</v>
      </c>
      <c r="D215" s="1" t="s">
        <v>30</v>
      </c>
      <c r="E215" s="1" t="s">
        <v>55</v>
      </c>
      <c r="F215" s="1" t="s">
        <v>56</v>
      </c>
      <c r="G215" s="1" t="s">
        <v>31</v>
      </c>
      <c r="H215" s="1">
        <v>6</v>
      </c>
      <c r="I215" s="1">
        <v>4804.7</v>
      </c>
      <c r="J215" s="1">
        <v>2124.45</v>
      </c>
      <c r="K215" s="1">
        <v>0</v>
      </c>
      <c r="L215" s="1" t="s">
        <v>136</v>
      </c>
    </row>
    <row r="216" ht="15" customHeight="1" spans="1:12">
      <c r="A216" s="1" t="s">
        <v>631</v>
      </c>
      <c r="B216" s="1" t="s">
        <v>632</v>
      </c>
      <c r="C216" s="1" t="s">
        <v>633</v>
      </c>
      <c r="D216" s="1" t="s">
        <v>299</v>
      </c>
      <c r="E216" s="1" t="s">
        <v>70</v>
      </c>
      <c r="F216" s="1" t="s">
        <v>174</v>
      </c>
      <c r="G216" s="1" t="s">
        <v>90</v>
      </c>
      <c r="H216" s="1">
        <v>5</v>
      </c>
      <c r="I216" s="1">
        <v>4334.95</v>
      </c>
      <c r="J216" s="1">
        <v>1885.71</v>
      </c>
      <c r="K216" s="1">
        <v>0.1</v>
      </c>
      <c r="L216" s="1" t="s">
        <v>136</v>
      </c>
    </row>
    <row r="217" ht="15" customHeight="1" spans="1:12">
      <c r="A217" s="1" t="s">
        <v>634</v>
      </c>
      <c r="B217" s="1" t="s">
        <v>635</v>
      </c>
      <c r="C217" s="1" t="s">
        <v>605</v>
      </c>
      <c r="D217" s="1" t="s">
        <v>80</v>
      </c>
      <c r="E217" s="1" t="s">
        <v>16</v>
      </c>
      <c r="F217" s="1" t="s">
        <v>37</v>
      </c>
      <c r="G217" s="1" t="s">
        <v>38</v>
      </c>
      <c r="H217" s="1">
        <v>9</v>
      </c>
      <c r="I217" s="1">
        <v>2517.89</v>
      </c>
      <c r="J217" s="1">
        <v>1495.12</v>
      </c>
      <c r="K217" s="1">
        <v>0</v>
      </c>
      <c r="L217" s="1" t="s">
        <v>50</v>
      </c>
    </row>
    <row r="218" ht="15" customHeight="1" spans="1:12">
      <c r="A218" s="1" t="s">
        <v>636</v>
      </c>
      <c r="B218" s="1" t="s">
        <v>637</v>
      </c>
      <c r="D218" s="1" t="s">
        <v>30</v>
      </c>
      <c r="E218" s="1" t="s">
        <v>343</v>
      </c>
      <c r="F218" s="1" t="s">
        <v>116</v>
      </c>
      <c r="G218" s="1" t="s">
        <v>18</v>
      </c>
      <c r="H218" s="1">
        <v>8</v>
      </c>
      <c r="I218" s="1">
        <v>1047.35</v>
      </c>
      <c r="J218" s="1">
        <v>567.23</v>
      </c>
      <c r="K218" s="1">
        <v>0.1</v>
      </c>
      <c r="L218" s="1" t="s">
        <v>19</v>
      </c>
    </row>
    <row r="219" ht="15" customHeight="1" spans="1:12">
      <c r="A219" s="1" t="s">
        <v>638</v>
      </c>
      <c r="B219" s="1" t="s">
        <v>639</v>
      </c>
      <c r="C219" s="1" t="s">
        <v>640</v>
      </c>
      <c r="D219" s="1" t="s">
        <v>54</v>
      </c>
      <c r="E219" s="1" t="s">
        <v>42</v>
      </c>
      <c r="F219" s="1" t="s">
        <v>85</v>
      </c>
      <c r="G219" s="1" t="s">
        <v>57</v>
      </c>
      <c r="H219" s="1">
        <v>6</v>
      </c>
      <c r="I219" s="1">
        <v>784.16</v>
      </c>
      <c r="J219" s="1">
        <v>503.52</v>
      </c>
      <c r="K219" s="1">
        <v>0.15</v>
      </c>
      <c r="L219" s="1" t="s">
        <v>50</v>
      </c>
    </row>
    <row r="220" ht="15" customHeight="1" spans="1:12">
      <c r="A220" s="1" t="s">
        <v>641</v>
      </c>
      <c r="B220" s="1" t="s">
        <v>642</v>
      </c>
      <c r="C220" s="1" t="s">
        <v>643</v>
      </c>
      <c r="D220" s="1" t="s">
        <v>80</v>
      </c>
      <c r="E220" s="1" t="s">
        <v>42</v>
      </c>
      <c r="F220" s="1" t="s">
        <v>146</v>
      </c>
      <c r="G220" s="1" t="s">
        <v>112</v>
      </c>
      <c r="H220" s="1">
        <v>8</v>
      </c>
      <c r="I220" s="1">
        <v>4468.71</v>
      </c>
      <c r="J220" s="1">
        <v>1794.85</v>
      </c>
      <c r="K220" s="1">
        <v>0</v>
      </c>
      <c r="L220" s="1" t="s">
        <v>19</v>
      </c>
    </row>
    <row r="221" ht="15" customHeight="1" spans="1:12">
      <c r="A221" s="1" t="s">
        <v>644</v>
      </c>
      <c r="B221" s="1" t="s">
        <v>645</v>
      </c>
      <c r="C221" s="1" t="s">
        <v>646</v>
      </c>
      <c r="D221" s="1" t="s">
        <v>48</v>
      </c>
      <c r="E221" s="1" t="s">
        <v>16</v>
      </c>
      <c r="F221" s="1" t="s">
        <v>49</v>
      </c>
      <c r="G221" s="1" t="s">
        <v>112</v>
      </c>
      <c r="H221" s="1">
        <v>4</v>
      </c>
      <c r="I221" s="1">
        <v>3075.72</v>
      </c>
      <c r="J221" s="1">
        <v>1727.99</v>
      </c>
      <c r="K221" s="1">
        <v>0.05</v>
      </c>
      <c r="L221" s="1" t="s">
        <v>32</v>
      </c>
    </row>
    <row r="222" ht="15" customHeight="1" spans="1:12">
      <c r="A222" s="1" t="s">
        <v>647</v>
      </c>
      <c r="B222" s="1" t="s">
        <v>648</v>
      </c>
      <c r="C222" s="1" t="s">
        <v>649</v>
      </c>
      <c r="D222" s="1" t="s">
        <v>54</v>
      </c>
      <c r="E222" s="1" t="s">
        <v>24</v>
      </c>
      <c r="F222" s="1" t="s">
        <v>131</v>
      </c>
      <c r="G222" s="1" t="s">
        <v>57</v>
      </c>
      <c r="H222" s="1">
        <v>12</v>
      </c>
      <c r="I222" s="1">
        <v>3409.2</v>
      </c>
      <c r="J222" s="1">
        <v>1605.27</v>
      </c>
      <c r="K222" s="1">
        <v>0</v>
      </c>
      <c r="L222" s="1" t="s">
        <v>26</v>
      </c>
    </row>
    <row r="223" ht="15" customHeight="1" spans="1:12">
      <c r="A223" s="1" t="s">
        <v>650</v>
      </c>
      <c r="B223" s="1" t="s">
        <v>651</v>
      </c>
      <c r="C223" s="1" t="s">
        <v>652</v>
      </c>
      <c r="D223" s="1" t="s">
        <v>30</v>
      </c>
      <c r="E223" s="1" t="s">
        <v>61</v>
      </c>
      <c r="F223" s="1" t="s">
        <v>106</v>
      </c>
      <c r="G223" s="1" t="s">
        <v>38</v>
      </c>
      <c r="H223" s="1">
        <v>2</v>
      </c>
      <c r="I223" s="1">
        <v>1379.12</v>
      </c>
      <c r="J223" s="1">
        <v>684.55</v>
      </c>
      <c r="K223" s="1">
        <v>0</v>
      </c>
      <c r="L223" s="1" t="s">
        <v>50</v>
      </c>
    </row>
    <row r="224" ht="15" customHeight="1" spans="1:12">
      <c r="A224" s="1" t="s">
        <v>653</v>
      </c>
      <c r="B224" s="1" t="s">
        <v>654</v>
      </c>
      <c r="C224" s="1" t="s">
        <v>655</v>
      </c>
      <c r="D224" s="1" t="s">
        <v>41</v>
      </c>
      <c r="E224" s="1" t="s">
        <v>16</v>
      </c>
      <c r="F224" s="1" t="s">
        <v>49</v>
      </c>
      <c r="G224" s="1" t="s">
        <v>38</v>
      </c>
      <c r="H224" s="1">
        <v>9</v>
      </c>
      <c r="I224" s="1">
        <v>4188.35</v>
      </c>
      <c r="J224" s="1">
        <v>2614.54</v>
      </c>
      <c r="K224" s="1">
        <v>0.2</v>
      </c>
      <c r="L224" s="1" t="s">
        <v>44</v>
      </c>
    </row>
    <row r="225" ht="15" customHeight="1" spans="1:12">
      <c r="A225" s="1" t="s">
        <v>656</v>
      </c>
      <c r="B225" s="1" t="s">
        <v>657</v>
      </c>
      <c r="C225" s="1" t="s">
        <v>93</v>
      </c>
      <c r="D225" s="1" t="s">
        <v>48</v>
      </c>
      <c r="E225" s="1" t="s">
        <v>24</v>
      </c>
      <c r="F225" s="1" t="s">
        <v>235</v>
      </c>
      <c r="G225" s="1" t="s">
        <v>18</v>
      </c>
      <c r="H225" s="1">
        <v>-5</v>
      </c>
      <c r="I225" s="1">
        <v>2541.56</v>
      </c>
      <c r="J225" s="1">
        <v>1164.36</v>
      </c>
      <c r="K225" s="1">
        <v>0.2</v>
      </c>
      <c r="L225" s="1" t="s">
        <v>50</v>
      </c>
    </row>
    <row r="226" ht="15" customHeight="1" spans="1:12">
      <c r="A226" s="1" t="s">
        <v>658</v>
      </c>
      <c r="B226" s="1" t="s">
        <v>659</v>
      </c>
      <c r="C226" s="1" t="s">
        <v>449</v>
      </c>
      <c r="D226" s="1" t="s">
        <v>80</v>
      </c>
      <c r="E226" s="1" t="s">
        <v>61</v>
      </c>
      <c r="F226" s="1" t="s">
        <v>106</v>
      </c>
      <c r="G226" s="1" t="s">
        <v>90</v>
      </c>
      <c r="H226" s="1">
        <v>3</v>
      </c>
      <c r="I226" s="1">
        <v>2301.54</v>
      </c>
      <c r="J226" s="1">
        <v>1257.43</v>
      </c>
      <c r="K226" s="1">
        <v>0</v>
      </c>
      <c r="L226" s="1" t="s">
        <v>50</v>
      </c>
    </row>
    <row r="227" ht="15" customHeight="1" spans="1:12">
      <c r="A227" s="1" t="s">
        <v>660</v>
      </c>
      <c r="B227" s="1" t="s">
        <v>661</v>
      </c>
      <c r="C227" s="1" t="s">
        <v>470</v>
      </c>
      <c r="D227" s="1" t="s">
        <v>153</v>
      </c>
      <c r="E227" s="1" t="s">
        <v>61</v>
      </c>
      <c r="F227" s="1" t="s">
        <v>120</v>
      </c>
      <c r="G227" s="1" t="s">
        <v>57</v>
      </c>
      <c r="H227" s="1">
        <v>7</v>
      </c>
      <c r="I227" s="1">
        <v>3757.18</v>
      </c>
      <c r="J227" s="1">
        <v>2305.97</v>
      </c>
      <c r="K227" s="1">
        <v>0.15</v>
      </c>
      <c r="L227" s="1" t="s">
        <v>136</v>
      </c>
    </row>
    <row r="228" ht="15" customHeight="1" spans="1:12">
      <c r="A228" s="1" t="s">
        <v>662</v>
      </c>
      <c r="B228" s="1" t="s">
        <v>228</v>
      </c>
      <c r="C228" s="1" t="s">
        <v>314</v>
      </c>
      <c r="D228" s="1" t="s">
        <v>41</v>
      </c>
      <c r="E228" s="1" t="s">
        <v>16</v>
      </c>
      <c r="F228" s="1" t="s">
        <v>17</v>
      </c>
      <c r="G228" s="1" t="s">
        <v>112</v>
      </c>
      <c r="H228" s="1">
        <v>10</v>
      </c>
      <c r="I228" s="1">
        <v>2345.27</v>
      </c>
      <c r="J228" s="1">
        <v>975.68</v>
      </c>
      <c r="K228" s="1">
        <v>0</v>
      </c>
      <c r="L228" s="1" t="s">
        <v>19</v>
      </c>
    </row>
    <row r="229" ht="15" customHeight="1" spans="1:12">
      <c r="A229" s="1" t="s">
        <v>663</v>
      </c>
      <c r="B229" s="1" t="s">
        <v>664</v>
      </c>
      <c r="C229" s="1" t="s">
        <v>196</v>
      </c>
      <c r="D229" s="1" t="s">
        <v>54</v>
      </c>
      <c r="E229" s="1" t="s">
        <v>42</v>
      </c>
      <c r="F229" s="1" t="s">
        <v>43</v>
      </c>
      <c r="G229" s="1" t="s">
        <v>18</v>
      </c>
      <c r="H229" s="1">
        <v>11</v>
      </c>
      <c r="I229" s="1">
        <v>4673.56</v>
      </c>
      <c r="J229" s="1">
        <v>2474.83</v>
      </c>
      <c r="K229" s="1">
        <v>0</v>
      </c>
      <c r="L229" s="1" t="s">
        <v>50</v>
      </c>
    </row>
    <row r="230" ht="15" customHeight="1" spans="1:12">
      <c r="A230" s="1" t="s">
        <v>665</v>
      </c>
      <c r="B230" s="1" t="s">
        <v>283</v>
      </c>
      <c r="C230" s="1" t="s">
        <v>101</v>
      </c>
      <c r="D230" s="1" t="s">
        <v>30</v>
      </c>
      <c r="E230" s="1" t="s">
        <v>42</v>
      </c>
      <c r="F230" s="1" t="s">
        <v>43</v>
      </c>
      <c r="G230" s="1" t="s">
        <v>18</v>
      </c>
      <c r="H230" s="1">
        <v>9</v>
      </c>
      <c r="I230" s="1">
        <v>371.22</v>
      </c>
      <c r="J230" s="1">
        <v>213.79</v>
      </c>
      <c r="K230" s="1">
        <v>0</v>
      </c>
      <c r="L230" s="1" t="s">
        <v>50</v>
      </c>
    </row>
    <row r="231" ht="15" customHeight="1" spans="1:12">
      <c r="A231" s="1" t="s">
        <v>666</v>
      </c>
      <c r="B231" s="1" t="s">
        <v>667</v>
      </c>
      <c r="C231" s="1" t="s">
        <v>668</v>
      </c>
      <c r="D231" s="1" t="s">
        <v>54</v>
      </c>
      <c r="E231" s="1" t="s">
        <v>16</v>
      </c>
      <c r="F231" s="1" t="s">
        <v>37</v>
      </c>
      <c r="G231" s="1" t="s">
        <v>38</v>
      </c>
      <c r="H231" s="1">
        <v>5</v>
      </c>
      <c r="I231" s="1">
        <v>1896.84</v>
      </c>
      <c r="J231" s="1">
        <v>814.22</v>
      </c>
      <c r="K231" s="1">
        <v>0.1</v>
      </c>
      <c r="L231" s="1" t="s">
        <v>50</v>
      </c>
    </row>
    <row r="232" ht="15" customHeight="1" spans="1:12">
      <c r="A232" s="1" t="s">
        <v>669</v>
      </c>
      <c r="B232" s="1" t="s">
        <v>670</v>
      </c>
      <c r="C232" s="1" t="s">
        <v>245</v>
      </c>
      <c r="D232" s="1" t="s">
        <v>98</v>
      </c>
      <c r="E232" s="1" t="s">
        <v>16</v>
      </c>
      <c r="F232" s="1" t="s">
        <v>49</v>
      </c>
      <c r="G232" s="1" t="s">
        <v>31</v>
      </c>
      <c r="H232" s="1">
        <v>2</v>
      </c>
      <c r="I232" s="1">
        <v>2097.56</v>
      </c>
      <c r="J232" s="1">
        <v>1252.59</v>
      </c>
      <c r="K232" s="1">
        <v>0</v>
      </c>
      <c r="L232" s="1" t="s">
        <v>44</v>
      </c>
    </row>
    <row r="233" ht="15" customHeight="1" spans="1:12">
      <c r="A233" s="1" t="s">
        <v>671</v>
      </c>
      <c r="B233" s="1" t="s">
        <v>525</v>
      </c>
      <c r="C233" s="1" t="s">
        <v>672</v>
      </c>
      <c r="D233" s="1" t="s">
        <v>80</v>
      </c>
      <c r="E233" s="1" t="s">
        <v>42</v>
      </c>
      <c r="F233" s="1" t="s">
        <v>146</v>
      </c>
      <c r="G233" s="1" t="s">
        <v>18</v>
      </c>
      <c r="H233" s="1">
        <v>10</v>
      </c>
      <c r="I233" s="1">
        <v>1563.66</v>
      </c>
      <c r="J233" s="1">
        <v>995.71</v>
      </c>
      <c r="K233" s="1">
        <v>0.15</v>
      </c>
      <c r="L233" s="1" t="s">
        <v>32</v>
      </c>
    </row>
    <row r="234" ht="15" customHeight="1" spans="1:12">
      <c r="A234" s="1" t="s">
        <v>673</v>
      </c>
      <c r="B234" s="1" t="s">
        <v>674</v>
      </c>
      <c r="C234" s="1" t="s">
        <v>675</v>
      </c>
      <c r="D234" s="1" t="s">
        <v>30</v>
      </c>
      <c r="E234" s="1" t="s">
        <v>16</v>
      </c>
      <c r="F234" s="1" t="s">
        <v>49</v>
      </c>
      <c r="G234" s="1" t="s">
        <v>90</v>
      </c>
      <c r="H234" s="1">
        <v>9</v>
      </c>
      <c r="I234" s="1">
        <v>4801.57</v>
      </c>
      <c r="J234" s="1">
        <v>2938.57</v>
      </c>
      <c r="K234" s="1">
        <v>0</v>
      </c>
      <c r="L234" s="1" t="s">
        <v>50</v>
      </c>
    </row>
    <row r="235" ht="15" customHeight="1" spans="1:12">
      <c r="A235" s="1" t="s">
        <v>676</v>
      </c>
      <c r="B235" s="1" t="s">
        <v>677</v>
      </c>
      <c r="C235" s="1" t="s">
        <v>678</v>
      </c>
      <c r="D235" s="1" t="s">
        <v>54</v>
      </c>
      <c r="E235" s="1" t="s">
        <v>145</v>
      </c>
      <c r="F235" s="1" t="s">
        <v>89</v>
      </c>
      <c r="G235" s="1" t="s">
        <v>38</v>
      </c>
      <c r="H235" s="1">
        <v>6</v>
      </c>
      <c r="I235" s="1">
        <v>2149.47</v>
      </c>
      <c r="J235" s="1">
        <v>1228.6</v>
      </c>
      <c r="K235" s="1">
        <v>0</v>
      </c>
      <c r="L235" s="1" t="s">
        <v>50</v>
      </c>
    </row>
    <row r="236" ht="15" customHeight="1" spans="1:12">
      <c r="A236" s="1" t="s">
        <v>679</v>
      </c>
      <c r="B236" s="1" t="s">
        <v>680</v>
      </c>
      <c r="C236" s="1" t="s">
        <v>681</v>
      </c>
      <c r="D236" s="1" t="s">
        <v>48</v>
      </c>
      <c r="E236" s="1" t="s">
        <v>171</v>
      </c>
      <c r="F236" s="1" t="s">
        <v>66</v>
      </c>
      <c r="G236" s="1" t="s">
        <v>38</v>
      </c>
      <c r="H236" s="1">
        <v>6</v>
      </c>
      <c r="I236" s="1">
        <v>2018.84</v>
      </c>
      <c r="J236" s="1">
        <v>1059.27</v>
      </c>
      <c r="K236" s="1">
        <v>0</v>
      </c>
      <c r="L236" s="1" t="s">
        <v>26</v>
      </c>
    </row>
    <row r="237" ht="15" customHeight="1" spans="1:12">
      <c r="A237" s="1" t="s">
        <v>682</v>
      </c>
      <c r="B237" s="1" t="s">
        <v>683</v>
      </c>
      <c r="C237" s="1" t="s">
        <v>684</v>
      </c>
      <c r="D237" s="1" t="s">
        <v>41</v>
      </c>
      <c r="E237" s="1" t="s">
        <v>42</v>
      </c>
      <c r="F237" s="1" t="s">
        <v>158</v>
      </c>
      <c r="G237" s="1" t="s">
        <v>57</v>
      </c>
      <c r="H237" s="1">
        <v>3</v>
      </c>
      <c r="I237" s="1">
        <v>2522.04</v>
      </c>
      <c r="J237" s="1">
        <v>1014.96</v>
      </c>
      <c r="K237" s="1">
        <v>0.05</v>
      </c>
      <c r="L237" s="1" t="s">
        <v>136</v>
      </c>
    </row>
    <row r="238" ht="15" customHeight="1" spans="1:12">
      <c r="A238" s="1" t="s">
        <v>685</v>
      </c>
      <c r="B238" s="1" t="s">
        <v>667</v>
      </c>
      <c r="C238" s="1" t="s">
        <v>339</v>
      </c>
      <c r="D238" s="1" t="s">
        <v>23</v>
      </c>
      <c r="E238" s="1" t="s">
        <v>61</v>
      </c>
      <c r="F238" s="1" t="s">
        <v>106</v>
      </c>
      <c r="G238" s="1" t="s">
        <v>112</v>
      </c>
      <c r="H238" s="1">
        <v>12</v>
      </c>
      <c r="I238" s="1">
        <v>1871.89</v>
      </c>
      <c r="J238" s="1">
        <v>917.68</v>
      </c>
      <c r="K238" s="1">
        <v>0.1</v>
      </c>
      <c r="L238" s="1" t="s">
        <v>26</v>
      </c>
    </row>
    <row r="239" ht="15" customHeight="1" spans="1:12">
      <c r="A239" s="1" t="s">
        <v>333</v>
      </c>
      <c r="B239" s="1" t="s">
        <v>334</v>
      </c>
      <c r="C239" s="1" t="s">
        <v>284</v>
      </c>
      <c r="D239" s="1" t="s">
        <v>15</v>
      </c>
      <c r="E239" s="1" t="s">
        <v>42</v>
      </c>
      <c r="F239" s="1" t="s">
        <v>158</v>
      </c>
      <c r="G239" s="1" t="s">
        <v>38</v>
      </c>
      <c r="H239" s="1">
        <v>9</v>
      </c>
      <c r="I239" s="1">
        <v>798.06</v>
      </c>
      <c r="J239" s="1">
        <v>367.45</v>
      </c>
      <c r="K239" s="1">
        <v>0</v>
      </c>
      <c r="L239" s="1" t="s">
        <v>32</v>
      </c>
    </row>
    <row r="240" ht="15" customHeight="1" spans="1:12">
      <c r="A240" s="1" t="s">
        <v>312</v>
      </c>
      <c r="B240" s="1" t="s">
        <v>313</v>
      </c>
      <c r="C240" s="1" t="s">
        <v>314</v>
      </c>
      <c r="D240" s="1" t="s">
        <v>54</v>
      </c>
      <c r="E240" s="1" t="s">
        <v>42</v>
      </c>
      <c r="F240" s="1" t="s">
        <v>89</v>
      </c>
      <c r="G240" s="1" t="s">
        <v>38</v>
      </c>
      <c r="H240" s="1">
        <v>3</v>
      </c>
      <c r="I240" s="1">
        <v>3490.59</v>
      </c>
      <c r="J240" s="1">
        <v>2224.22</v>
      </c>
      <c r="K240" s="1">
        <v>0</v>
      </c>
      <c r="L240" s="1" t="s">
        <v>32</v>
      </c>
    </row>
    <row r="241" ht="15" customHeight="1" spans="1:12">
      <c r="A241" s="1" t="s">
        <v>538</v>
      </c>
      <c r="B241" s="1" t="s">
        <v>539</v>
      </c>
      <c r="C241" s="1" t="s">
        <v>540</v>
      </c>
      <c r="D241" s="1" t="s">
        <v>48</v>
      </c>
      <c r="E241" s="1" t="s">
        <v>145</v>
      </c>
      <c r="F241" s="1" t="s">
        <v>146</v>
      </c>
      <c r="G241" s="1" t="s">
        <v>57</v>
      </c>
      <c r="H241" s="1">
        <v>8</v>
      </c>
      <c r="I241" s="1">
        <v>2987.51</v>
      </c>
      <c r="J241" s="1">
        <v>1548.31</v>
      </c>
      <c r="K241" s="1">
        <v>0</v>
      </c>
      <c r="L241" s="1" t="s">
        <v>50</v>
      </c>
    </row>
    <row r="242" ht="15" customHeight="1" spans="1:12">
      <c r="A242" s="1" t="s">
        <v>431</v>
      </c>
      <c r="B242" s="1" t="s">
        <v>432</v>
      </c>
      <c r="C242" s="1" t="s">
        <v>433</v>
      </c>
      <c r="D242" s="1" t="s">
        <v>41</v>
      </c>
      <c r="E242" s="1" t="s">
        <v>55</v>
      </c>
      <c r="F242" s="1" t="s">
        <v>56</v>
      </c>
      <c r="G242" s="1" t="s">
        <v>38</v>
      </c>
      <c r="I242" s="1">
        <v>1854.65</v>
      </c>
      <c r="J242" s="1">
        <v>939.55</v>
      </c>
      <c r="K242" s="1">
        <v>0.05</v>
      </c>
      <c r="L242" s="1" t="s">
        <v>32</v>
      </c>
    </row>
    <row r="243" ht="15" customHeight="1" spans="1:12">
      <c r="A243" s="1" t="s">
        <v>417</v>
      </c>
      <c r="B243" s="1" t="s">
        <v>126</v>
      </c>
      <c r="C243" s="1" t="s">
        <v>295</v>
      </c>
      <c r="D243" s="1" t="s">
        <v>41</v>
      </c>
      <c r="E243" s="1" t="s">
        <v>61</v>
      </c>
      <c r="F243" s="1" t="s">
        <v>111</v>
      </c>
      <c r="G243" s="1" t="s">
        <v>57</v>
      </c>
      <c r="H243" s="1">
        <v>11</v>
      </c>
      <c r="I243" s="1">
        <v>2629.27</v>
      </c>
      <c r="J243" s="1">
        <v>1457.06</v>
      </c>
      <c r="K243" s="1">
        <v>0.05</v>
      </c>
      <c r="L243" s="1" t="s">
        <v>19</v>
      </c>
    </row>
    <row r="244" ht="15" customHeight="1" spans="1:12">
      <c r="A244" s="1" t="s">
        <v>595</v>
      </c>
      <c r="B244" s="1" t="s">
        <v>596</v>
      </c>
      <c r="C244" s="1" t="s">
        <v>597</v>
      </c>
      <c r="D244" s="1" t="s">
        <v>80</v>
      </c>
      <c r="E244" s="1" t="s">
        <v>24</v>
      </c>
      <c r="F244" s="1" t="s">
        <v>131</v>
      </c>
      <c r="G244" s="1" t="s">
        <v>57</v>
      </c>
      <c r="H244" s="1">
        <v>9</v>
      </c>
      <c r="I244" s="1">
        <v>4344.33</v>
      </c>
      <c r="J244" s="1">
        <v>2510.89</v>
      </c>
      <c r="K244" s="1">
        <v>0.1</v>
      </c>
      <c r="L244" s="1" t="s">
        <v>50</v>
      </c>
    </row>
    <row r="245" ht="15" customHeight="1" spans="1:12">
      <c r="A245" s="1" t="s">
        <v>571</v>
      </c>
      <c r="B245" s="1" t="s">
        <v>572</v>
      </c>
      <c r="C245" s="1" t="s">
        <v>436</v>
      </c>
      <c r="D245" s="1" t="s">
        <v>48</v>
      </c>
      <c r="E245" s="1" t="s">
        <v>16</v>
      </c>
      <c r="F245" s="1" t="s">
        <v>37</v>
      </c>
      <c r="G245" s="1" t="s">
        <v>18</v>
      </c>
      <c r="H245" s="1">
        <v>2</v>
      </c>
      <c r="I245" s="1">
        <v>3962.77</v>
      </c>
      <c r="J245" s="1">
        <v>1659.46</v>
      </c>
      <c r="K245" s="1">
        <v>0.15</v>
      </c>
      <c r="L245" s="1" t="s">
        <v>32</v>
      </c>
    </row>
    <row r="246" ht="15" customHeight="1" spans="1:12">
      <c r="A246" s="1" t="s">
        <v>394</v>
      </c>
      <c r="B246" s="1" t="s">
        <v>395</v>
      </c>
      <c r="C246" s="1" t="s">
        <v>396</v>
      </c>
      <c r="D246" s="1" t="s">
        <v>80</v>
      </c>
      <c r="E246" s="1" t="s">
        <v>55</v>
      </c>
      <c r="F246" s="1" t="s">
        <v>66</v>
      </c>
      <c r="G246" s="1" t="s">
        <v>112</v>
      </c>
      <c r="H246" s="1">
        <v>1</v>
      </c>
      <c r="I246" s="1">
        <v>2942.87</v>
      </c>
      <c r="J246" s="1">
        <v>1339.94</v>
      </c>
      <c r="K246" s="1">
        <v>0</v>
      </c>
      <c r="L246" s="1" t="s">
        <v>50</v>
      </c>
    </row>
    <row r="247" ht="15" customHeight="1" spans="1:12">
      <c r="A247" s="1" t="s">
        <v>666</v>
      </c>
      <c r="B247" s="1" t="s">
        <v>667</v>
      </c>
      <c r="C247" s="1" t="s">
        <v>668</v>
      </c>
      <c r="D247" s="1" t="s">
        <v>54</v>
      </c>
      <c r="E247" s="1" t="s">
        <v>16</v>
      </c>
      <c r="F247" s="1" t="s">
        <v>37</v>
      </c>
      <c r="G247" s="1" t="s">
        <v>38</v>
      </c>
      <c r="H247" s="1">
        <v>5</v>
      </c>
      <c r="I247" s="1">
        <v>1896.84</v>
      </c>
      <c r="J247" s="1">
        <v>814.22</v>
      </c>
      <c r="K247" s="1">
        <v>0.1</v>
      </c>
      <c r="L247" s="1" t="s">
        <v>50</v>
      </c>
    </row>
    <row r="248" ht="15" customHeight="1" spans="1:12">
      <c r="A248" s="1" t="s">
        <v>113</v>
      </c>
      <c r="B248" s="1" t="s">
        <v>114</v>
      </c>
      <c r="C248" s="1" t="s">
        <v>115</v>
      </c>
      <c r="D248" s="1" t="s">
        <v>80</v>
      </c>
      <c r="E248" s="1" t="s">
        <v>24</v>
      </c>
      <c r="F248" s="1" t="s">
        <v>116</v>
      </c>
      <c r="G248" s="1" t="s">
        <v>90</v>
      </c>
      <c r="H248" s="1">
        <v>12</v>
      </c>
      <c r="I248" s="1">
        <v>2348.47</v>
      </c>
      <c r="J248" s="1">
        <v>1244.64</v>
      </c>
      <c r="K248" s="1">
        <v>0.2</v>
      </c>
      <c r="L248" s="1" t="s">
        <v>19</v>
      </c>
    </row>
    <row r="249" ht="15" customHeight="1" spans="1:12">
      <c r="A249" s="1" t="s">
        <v>351</v>
      </c>
      <c r="B249" s="1" t="s">
        <v>352</v>
      </c>
      <c r="C249" s="1" t="s">
        <v>353</v>
      </c>
      <c r="D249" s="1" t="s">
        <v>48</v>
      </c>
      <c r="E249" s="1" t="s">
        <v>61</v>
      </c>
      <c r="F249" s="1" t="s">
        <v>120</v>
      </c>
      <c r="G249" s="1" t="s">
        <v>18</v>
      </c>
      <c r="H249" s="1">
        <v>4</v>
      </c>
      <c r="I249" s="1">
        <v>1610.33</v>
      </c>
      <c r="J249" s="1">
        <v>764.3</v>
      </c>
      <c r="K249" s="1">
        <v>0</v>
      </c>
      <c r="L249" s="1" t="s">
        <v>136</v>
      </c>
    </row>
    <row r="250" ht="15" customHeight="1" spans="1:12">
      <c r="A250" s="1" t="s">
        <v>501</v>
      </c>
      <c r="B250" s="1" t="s">
        <v>213</v>
      </c>
      <c r="C250" s="1" t="s">
        <v>502</v>
      </c>
      <c r="D250" s="1" t="s">
        <v>153</v>
      </c>
      <c r="E250" s="1" t="s">
        <v>55</v>
      </c>
      <c r="F250" s="1" t="s">
        <v>66</v>
      </c>
      <c r="G250" s="1" t="s">
        <v>112</v>
      </c>
      <c r="H250" s="1">
        <v>3</v>
      </c>
      <c r="I250" s="1">
        <v>461.85</v>
      </c>
      <c r="J250" s="1">
        <v>256.23</v>
      </c>
      <c r="K250" s="1">
        <v>0</v>
      </c>
      <c r="L250" s="1" t="s">
        <v>50</v>
      </c>
    </row>
    <row r="251" ht="15" customHeight="1" spans="1:12">
      <c r="A251" s="1" t="s">
        <v>282</v>
      </c>
      <c r="B251" s="1" t="s">
        <v>283</v>
      </c>
      <c r="C251" s="1" t="s">
        <v>284</v>
      </c>
      <c r="D251" s="1" t="s">
        <v>48</v>
      </c>
      <c r="E251" s="1" t="s">
        <v>24</v>
      </c>
      <c r="F251" s="1" t="s">
        <v>116</v>
      </c>
      <c r="G251" s="1" t="s">
        <v>90</v>
      </c>
      <c r="H251" s="1">
        <v>7</v>
      </c>
      <c r="I251" s="1">
        <v>2011.21</v>
      </c>
      <c r="J251" s="1">
        <v>1166.29</v>
      </c>
      <c r="K251" s="1">
        <v>0.05</v>
      </c>
      <c r="L251" s="1" t="s">
        <v>50</v>
      </c>
    </row>
    <row r="252" ht="15" customHeight="1" spans="1:12">
      <c r="A252" s="1" t="s">
        <v>403</v>
      </c>
      <c r="B252" s="1" t="s">
        <v>404</v>
      </c>
      <c r="C252" s="1" t="s">
        <v>186</v>
      </c>
      <c r="D252" s="1" t="s">
        <v>48</v>
      </c>
      <c r="E252" s="1" t="s">
        <v>16</v>
      </c>
      <c r="F252" s="1" t="s">
        <v>17</v>
      </c>
      <c r="G252" s="1" t="s">
        <v>112</v>
      </c>
      <c r="H252" s="1">
        <v>7</v>
      </c>
      <c r="I252" s="1">
        <v>2896.7</v>
      </c>
      <c r="J252" s="1">
        <v>1199.32</v>
      </c>
      <c r="K252" s="1">
        <v>0</v>
      </c>
      <c r="L252" s="1" t="s">
        <v>26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5C8A"/>
  </sheetPr>
  <dimension ref="A1:R225"/>
  <sheetViews>
    <sheetView showGridLines="0" tabSelected="1" workbookViewId="0">
      <pane ySplit="3" topLeftCell="A4" activePane="bottomLeft" state="frozen"/>
      <selection/>
      <selection pane="bottomLeft" activeCell="A1" sqref="A1:P1"/>
    </sheetView>
  </sheetViews>
  <sheetFormatPr defaultColWidth="8.68181818181818" defaultRowHeight="14.5"/>
  <cols>
    <col min="1" max="1" width="12" style="1" customWidth="1"/>
    <col min="2" max="2" width="13" style="1" customWidth="1"/>
    <col min="3" max="3" width="20" style="1" customWidth="1"/>
    <col min="4" max="4" width="11" style="1" customWidth="1"/>
    <col min="5" max="5" width="13" style="1" customWidth="1"/>
    <col min="6" max="6" width="20" style="1" customWidth="1"/>
    <col min="7" max="7" width="13" style="1" customWidth="1"/>
    <col min="8" max="8" width="8" style="1" customWidth="1"/>
    <col min="9" max="9" width="12" style="1" customWidth="1"/>
    <col min="10" max="10" width="10" style="1" customWidth="1"/>
    <col min="11" max="11" width="11" style="1" customWidth="1"/>
    <col min="12" max="12" width="13" style="1" customWidth="1"/>
    <col min="13" max="14" width="12" style="1" customWidth="1"/>
    <col min="15" max="15" width="15" style="1" customWidth="1"/>
    <col min="16" max="16" width="12" style="1" customWidth="1"/>
    <col min="17" max="18" width="6" style="1" hidden="1" customWidth="1"/>
  </cols>
  <sheetData>
    <row r="1" ht="15.75" customHeight="1" spans="1:16">
      <c r="A1" s="52" t="s">
        <v>686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3" ht="15" customHeight="1" spans="1:18">
      <c r="A3" s="51" t="s">
        <v>1</v>
      </c>
      <c r="B3" s="51" t="s">
        <v>2</v>
      </c>
      <c r="C3" s="51" t="s">
        <v>3</v>
      </c>
      <c r="D3" s="51" t="s">
        <v>4</v>
      </c>
      <c r="E3" s="51" t="s">
        <v>5</v>
      </c>
      <c r="F3" s="51" t="s">
        <v>6</v>
      </c>
      <c r="G3" s="51" t="s">
        <v>7</v>
      </c>
      <c r="H3" s="51" t="s">
        <v>8</v>
      </c>
      <c r="I3" s="51" t="s">
        <v>9</v>
      </c>
      <c r="J3" s="51" t="s">
        <v>11</v>
      </c>
      <c r="K3" s="51" t="s">
        <v>10</v>
      </c>
      <c r="L3" s="51" t="s">
        <v>687</v>
      </c>
      <c r="M3" s="51" t="s">
        <v>688</v>
      </c>
      <c r="N3" s="51" t="s">
        <v>689</v>
      </c>
      <c r="O3" s="51" t="s">
        <v>12</v>
      </c>
      <c r="P3" s="51" t="s">
        <v>690</v>
      </c>
      <c r="Q3" s="51" t="s">
        <v>691</v>
      </c>
      <c r="R3" s="51" t="s">
        <v>692</v>
      </c>
    </row>
    <row r="4" ht="15" customHeight="1" spans="1:18">
      <c r="A4" s="1" t="s">
        <v>209</v>
      </c>
      <c r="B4" s="53">
        <v>45667</v>
      </c>
      <c r="C4" s="1" t="s">
        <v>211</v>
      </c>
      <c r="D4" s="1" t="s">
        <v>41</v>
      </c>
      <c r="E4" s="1" t="s">
        <v>42</v>
      </c>
      <c r="F4" s="1" t="s">
        <v>89</v>
      </c>
      <c r="G4" s="1" t="s">
        <v>18</v>
      </c>
      <c r="H4" s="1">
        <v>8</v>
      </c>
      <c r="I4" s="54">
        <v>3297.15</v>
      </c>
      <c r="J4" s="55">
        <v>0.15</v>
      </c>
      <c r="K4" s="54">
        <v>1697.68</v>
      </c>
      <c r="L4" s="54">
        <v>22420.62</v>
      </c>
      <c r="M4" s="54">
        <v>13581.44</v>
      </c>
      <c r="N4" s="54">
        <v>8839.18</v>
      </c>
      <c r="O4" s="1" t="s">
        <v>44</v>
      </c>
      <c r="P4" s="1" t="s">
        <v>693</v>
      </c>
      <c r="Q4" s="1">
        <f>IF(COUNTIF($C$4:C4,C4)=1,1,0)</f>
        <v>1</v>
      </c>
      <c r="R4" s="1">
        <f>IF(COUNTIFS($D$4:D4,D4,$C$4:C4,C4)=1,1,0)</f>
        <v>1</v>
      </c>
    </row>
    <row r="5" ht="15" customHeight="1" spans="1:18">
      <c r="A5" s="1" t="s">
        <v>45</v>
      </c>
      <c r="B5" s="53">
        <v>45669</v>
      </c>
      <c r="C5" s="1" t="s">
        <v>694</v>
      </c>
      <c r="D5" s="1" t="s">
        <v>48</v>
      </c>
      <c r="E5" s="1" t="s">
        <v>16</v>
      </c>
      <c r="F5" s="1" t="s">
        <v>49</v>
      </c>
      <c r="G5" s="1" t="s">
        <v>38</v>
      </c>
      <c r="H5" s="1">
        <v>8</v>
      </c>
      <c r="I5" s="54">
        <v>2785.84</v>
      </c>
      <c r="J5" s="55">
        <v>0.2</v>
      </c>
      <c r="K5" s="54">
        <v>1790.65</v>
      </c>
      <c r="L5" s="54">
        <v>17829.38</v>
      </c>
      <c r="M5" s="54">
        <v>14325.2</v>
      </c>
      <c r="N5" s="54">
        <v>3504.18</v>
      </c>
      <c r="O5" s="1" t="s">
        <v>50</v>
      </c>
      <c r="P5" s="1" t="s">
        <v>693</v>
      </c>
      <c r="Q5" s="1">
        <f>IF(COUNTIF($C$4:C5,C5)=1,1,0)</f>
        <v>1</v>
      </c>
      <c r="R5" s="1">
        <f>IF(COUNTIFS($D$4:D5,D5,$C$4:C5,C5)=1,1,0)</f>
        <v>1</v>
      </c>
    </row>
    <row r="6" ht="15" customHeight="1" spans="1:18">
      <c r="A6" s="1" t="s">
        <v>496</v>
      </c>
      <c r="B6" s="53">
        <v>45670</v>
      </c>
      <c r="C6" s="1" t="s">
        <v>305</v>
      </c>
      <c r="D6" s="1" t="s">
        <v>41</v>
      </c>
      <c r="E6" s="1" t="s">
        <v>24</v>
      </c>
      <c r="F6" s="1" t="s">
        <v>131</v>
      </c>
      <c r="G6" s="1" t="s">
        <v>90</v>
      </c>
      <c r="H6" s="1">
        <v>8</v>
      </c>
      <c r="I6" s="54">
        <v>777.96</v>
      </c>
      <c r="J6" s="55">
        <v>0</v>
      </c>
      <c r="K6" s="54">
        <v>465.57</v>
      </c>
      <c r="L6" s="54">
        <v>6223.68</v>
      </c>
      <c r="M6" s="54">
        <v>3724.56</v>
      </c>
      <c r="N6" s="54">
        <v>2499.12</v>
      </c>
      <c r="O6" s="1" t="s">
        <v>32</v>
      </c>
      <c r="P6" s="1" t="s">
        <v>693</v>
      </c>
      <c r="Q6" s="1">
        <f>IF(COUNTIF($C$4:C6,C6)=1,1,0)</f>
        <v>1</v>
      </c>
      <c r="R6" s="1">
        <f>IF(COUNTIFS($D$4:D6,D6,$C$4:C6,C6)=1,1,0)</f>
        <v>1</v>
      </c>
    </row>
    <row r="7" ht="15" customHeight="1" spans="1:18">
      <c r="A7" s="1" t="s">
        <v>394</v>
      </c>
      <c r="B7" s="53">
        <v>45674</v>
      </c>
      <c r="C7" s="1" t="s">
        <v>396</v>
      </c>
      <c r="D7" s="1" t="s">
        <v>80</v>
      </c>
      <c r="E7" s="1" t="s">
        <v>55</v>
      </c>
      <c r="F7" s="1" t="s">
        <v>66</v>
      </c>
      <c r="G7" s="1" t="s">
        <v>112</v>
      </c>
      <c r="H7" s="1">
        <v>1</v>
      </c>
      <c r="I7" s="54">
        <v>2942.87</v>
      </c>
      <c r="J7" s="55">
        <v>0</v>
      </c>
      <c r="K7" s="54">
        <v>1339.94</v>
      </c>
      <c r="L7" s="54">
        <v>2942.87</v>
      </c>
      <c r="M7" s="54">
        <v>1339.94</v>
      </c>
      <c r="N7" s="54">
        <v>1602.93</v>
      </c>
      <c r="O7" s="1" t="s">
        <v>50</v>
      </c>
      <c r="P7" s="1" t="s">
        <v>693</v>
      </c>
      <c r="Q7" s="1">
        <f>IF(COUNTIF($C$4:C7,C7)=1,1,0)</f>
        <v>1</v>
      </c>
      <c r="R7" s="1">
        <f>IF(COUNTIFS($D$4:D7,D7,$C$4:C7,C7)=1,1,0)</f>
        <v>1</v>
      </c>
    </row>
    <row r="8" ht="15" customHeight="1" spans="1:18">
      <c r="A8" s="1" t="s">
        <v>650</v>
      </c>
      <c r="B8" s="53">
        <v>45674</v>
      </c>
      <c r="C8" s="1" t="s">
        <v>652</v>
      </c>
      <c r="D8" s="1" t="s">
        <v>30</v>
      </c>
      <c r="E8" s="1" t="s">
        <v>61</v>
      </c>
      <c r="F8" s="1" t="s">
        <v>106</v>
      </c>
      <c r="G8" s="1" t="s">
        <v>38</v>
      </c>
      <c r="H8" s="1">
        <v>2</v>
      </c>
      <c r="I8" s="54">
        <v>1379.12</v>
      </c>
      <c r="J8" s="55">
        <v>0</v>
      </c>
      <c r="K8" s="54">
        <v>684.55</v>
      </c>
      <c r="L8" s="54">
        <v>2758.24</v>
      </c>
      <c r="M8" s="54">
        <v>1369.1</v>
      </c>
      <c r="N8" s="54">
        <v>1389.14</v>
      </c>
      <c r="O8" s="1" t="s">
        <v>50</v>
      </c>
      <c r="P8" s="1" t="s">
        <v>693</v>
      </c>
      <c r="Q8" s="1">
        <f>IF(COUNTIF($C$4:C8,C8)=1,1,0)</f>
        <v>1</v>
      </c>
      <c r="R8" s="1">
        <f>IF(COUNTIFS($D$4:D8,D8,$C$4:C8,C8)=1,1,0)</f>
        <v>1</v>
      </c>
    </row>
    <row r="9" ht="15" customHeight="1" spans="1:18">
      <c r="A9" s="1" t="s">
        <v>290</v>
      </c>
      <c r="B9" s="53">
        <v>45677</v>
      </c>
      <c r="C9" s="1" t="s">
        <v>292</v>
      </c>
      <c r="D9" s="1" t="s">
        <v>41</v>
      </c>
      <c r="E9" s="1" t="s">
        <v>61</v>
      </c>
      <c r="F9" s="1" t="s">
        <v>106</v>
      </c>
      <c r="G9" s="1" t="s">
        <v>57</v>
      </c>
      <c r="H9" s="1">
        <v>8</v>
      </c>
      <c r="I9" s="54">
        <v>2407.43</v>
      </c>
      <c r="J9" s="55">
        <v>0</v>
      </c>
      <c r="K9" s="54">
        <v>966.13</v>
      </c>
      <c r="L9" s="54">
        <v>19259.44</v>
      </c>
      <c r="M9" s="54">
        <v>7729.04</v>
      </c>
      <c r="N9" s="54">
        <v>11530.4</v>
      </c>
      <c r="O9" s="1" t="s">
        <v>32</v>
      </c>
      <c r="P9" s="1" t="s">
        <v>693</v>
      </c>
      <c r="Q9" s="1">
        <f>IF(COUNTIF($C$4:C9,C9)=1,1,0)</f>
        <v>1</v>
      </c>
      <c r="R9" s="1">
        <f>IF(COUNTIFS($D$4:D9,D9,$C$4:C9,C9)=1,1,0)</f>
        <v>1</v>
      </c>
    </row>
    <row r="10" ht="15" customHeight="1" spans="1:18">
      <c r="A10" s="1" t="s">
        <v>644</v>
      </c>
      <c r="B10" s="53">
        <v>45680</v>
      </c>
      <c r="C10" s="1" t="s">
        <v>646</v>
      </c>
      <c r="D10" s="1" t="s">
        <v>48</v>
      </c>
      <c r="E10" s="1" t="s">
        <v>16</v>
      </c>
      <c r="F10" s="1" t="s">
        <v>49</v>
      </c>
      <c r="G10" s="1" t="s">
        <v>112</v>
      </c>
      <c r="H10" s="1">
        <v>4</v>
      </c>
      <c r="I10" s="54">
        <v>3075.72</v>
      </c>
      <c r="J10" s="55">
        <v>0.05</v>
      </c>
      <c r="K10" s="54">
        <v>1727.99</v>
      </c>
      <c r="L10" s="54">
        <v>11687.74</v>
      </c>
      <c r="M10" s="54">
        <v>6911.96</v>
      </c>
      <c r="N10" s="54">
        <v>4775.78</v>
      </c>
      <c r="O10" s="1" t="s">
        <v>32</v>
      </c>
      <c r="P10" s="1" t="s">
        <v>693</v>
      </c>
      <c r="Q10" s="1">
        <f>IF(COUNTIF($C$4:C10,C10)=1,1,0)</f>
        <v>1</v>
      </c>
      <c r="R10" s="1">
        <f>IF(COUNTIFS($D$4:D10,D10,$C$4:C10,C10)=1,1,0)</f>
        <v>1</v>
      </c>
    </row>
    <row r="11" ht="15" customHeight="1" spans="1:18">
      <c r="A11" s="1" t="s">
        <v>233</v>
      </c>
      <c r="B11" s="53">
        <v>45684</v>
      </c>
      <c r="C11" s="1" t="s">
        <v>695</v>
      </c>
      <c r="D11" s="1" t="s">
        <v>80</v>
      </c>
      <c r="E11" s="1" t="s">
        <v>24</v>
      </c>
      <c r="F11" s="1" t="s">
        <v>235</v>
      </c>
      <c r="G11" s="1" t="s">
        <v>18</v>
      </c>
      <c r="H11" s="1">
        <v>3</v>
      </c>
      <c r="I11" s="54">
        <v>2838.01</v>
      </c>
      <c r="J11" s="55">
        <v>0</v>
      </c>
      <c r="K11" s="54">
        <v>1701.75</v>
      </c>
      <c r="L11" s="54">
        <v>8514.03</v>
      </c>
      <c r="M11" s="54">
        <v>5105.25</v>
      </c>
      <c r="N11" s="54">
        <v>3408.78</v>
      </c>
      <c r="O11" s="1" t="s">
        <v>44</v>
      </c>
      <c r="P11" s="1" t="s">
        <v>693</v>
      </c>
      <c r="Q11" s="1">
        <f>IF(COUNTIF($C$4:C11,C11)=1,1,0)</f>
        <v>1</v>
      </c>
      <c r="R11" s="1">
        <f>IF(COUNTIFS($D$4:D11,D11,$C$4:C11,C11)=1,1,0)</f>
        <v>1</v>
      </c>
    </row>
    <row r="12" ht="15" customHeight="1" spans="1:18">
      <c r="A12" s="1" t="s">
        <v>137</v>
      </c>
      <c r="B12" s="53">
        <v>45685</v>
      </c>
      <c r="C12" s="1" t="s">
        <v>139</v>
      </c>
      <c r="D12" s="1" t="s">
        <v>41</v>
      </c>
      <c r="E12" s="1" t="s">
        <v>55</v>
      </c>
      <c r="F12" s="1" t="s">
        <v>141</v>
      </c>
      <c r="G12" s="1" t="s">
        <v>38</v>
      </c>
      <c r="H12" s="1">
        <v>9</v>
      </c>
      <c r="I12" s="54">
        <v>425.74</v>
      </c>
      <c r="J12" s="55">
        <v>0.1</v>
      </c>
      <c r="K12" s="54">
        <v>212.23</v>
      </c>
      <c r="L12" s="54">
        <v>3448.49</v>
      </c>
      <c r="M12" s="54">
        <v>1910.07</v>
      </c>
      <c r="N12" s="54">
        <v>1538.42</v>
      </c>
      <c r="O12" s="1" t="s">
        <v>26</v>
      </c>
      <c r="P12" s="1" t="s">
        <v>693</v>
      </c>
      <c r="Q12" s="1">
        <f>IF(COUNTIF($C$4:C12,C12)=1,1,0)</f>
        <v>1</v>
      </c>
      <c r="R12" s="1">
        <f>IF(COUNTIFS($D$4:D12,D12,$C$4:C12,C12)=1,1,0)</f>
        <v>1</v>
      </c>
    </row>
    <row r="13" ht="15" customHeight="1" spans="1:18">
      <c r="A13" s="1" t="s">
        <v>405</v>
      </c>
      <c r="B13" s="53">
        <v>45691</v>
      </c>
      <c r="C13" s="1" t="s">
        <v>360</v>
      </c>
      <c r="D13" s="1" t="s">
        <v>80</v>
      </c>
      <c r="E13" s="1" t="s">
        <v>24</v>
      </c>
      <c r="F13" s="1" t="s">
        <v>124</v>
      </c>
      <c r="G13" s="1" t="s">
        <v>90</v>
      </c>
      <c r="H13" s="1">
        <v>2</v>
      </c>
      <c r="I13" s="54">
        <v>3515.82</v>
      </c>
      <c r="J13" s="55">
        <v>0.1</v>
      </c>
      <c r="K13" s="54">
        <v>1652.76</v>
      </c>
      <c r="L13" s="54">
        <v>6328.48</v>
      </c>
      <c r="M13" s="54">
        <v>3305.52</v>
      </c>
      <c r="N13" s="54">
        <v>3022.96</v>
      </c>
      <c r="O13" s="1" t="s">
        <v>44</v>
      </c>
      <c r="P13" s="1" t="s">
        <v>696</v>
      </c>
      <c r="Q13" s="1">
        <f>IF(COUNTIF($C$4:C13,C13)=1,1,0)</f>
        <v>1</v>
      </c>
      <c r="R13" s="1">
        <f>IF(COUNTIFS($D$4:D13,D13,$C$4:C13,C13)=1,1,0)</f>
        <v>1</v>
      </c>
    </row>
    <row r="14" ht="15" customHeight="1" spans="1:18">
      <c r="A14" s="1" t="s">
        <v>663</v>
      </c>
      <c r="B14" s="53">
        <v>45692</v>
      </c>
      <c r="C14" s="1" t="s">
        <v>196</v>
      </c>
      <c r="D14" s="1" t="s">
        <v>54</v>
      </c>
      <c r="E14" s="1" t="s">
        <v>42</v>
      </c>
      <c r="F14" s="1" t="s">
        <v>43</v>
      </c>
      <c r="G14" s="1" t="s">
        <v>18</v>
      </c>
      <c r="H14" s="1">
        <v>11</v>
      </c>
      <c r="I14" s="54">
        <v>4673.56</v>
      </c>
      <c r="J14" s="55">
        <v>0</v>
      </c>
      <c r="K14" s="54">
        <v>2474.83</v>
      </c>
      <c r="L14" s="54">
        <v>51409.16</v>
      </c>
      <c r="M14" s="54">
        <v>27223.13</v>
      </c>
      <c r="N14" s="54">
        <v>24186.03</v>
      </c>
      <c r="O14" s="1" t="s">
        <v>50</v>
      </c>
      <c r="P14" s="1" t="s">
        <v>696</v>
      </c>
      <c r="Q14" s="1">
        <f>IF(COUNTIF($C$4:C14,C14)=1,1,0)</f>
        <v>1</v>
      </c>
      <c r="R14" s="1">
        <f>IF(COUNTIFS($D$4:D14,D14,$C$4:C14,C14)=1,1,0)</f>
        <v>1</v>
      </c>
    </row>
    <row r="15" ht="15" customHeight="1" spans="1:18">
      <c r="A15" s="1" t="s">
        <v>103</v>
      </c>
      <c r="B15" s="53">
        <v>45697</v>
      </c>
      <c r="C15" s="1" t="s">
        <v>697</v>
      </c>
      <c r="D15" s="1" t="s">
        <v>41</v>
      </c>
      <c r="E15" s="1" t="s">
        <v>61</v>
      </c>
      <c r="F15" s="1" t="s">
        <v>106</v>
      </c>
      <c r="G15" s="1" t="s">
        <v>31</v>
      </c>
      <c r="H15" s="1">
        <v>3</v>
      </c>
      <c r="I15" s="54">
        <v>3999.66</v>
      </c>
      <c r="J15" s="55">
        <v>0.2</v>
      </c>
      <c r="K15" s="54">
        <v>1707.95</v>
      </c>
      <c r="L15" s="54">
        <v>9599.18</v>
      </c>
      <c r="M15" s="54">
        <v>5123.85</v>
      </c>
      <c r="N15" s="54">
        <v>4475.33</v>
      </c>
      <c r="O15" s="1" t="s">
        <v>32</v>
      </c>
      <c r="P15" s="1" t="s">
        <v>696</v>
      </c>
      <c r="Q15" s="1">
        <f>IF(COUNTIF($C$4:C15,C15)=1,1,0)</f>
        <v>1</v>
      </c>
      <c r="R15" s="1">
        <f>IF(COUNTIFS($D$4:D15,D15,$C$4:C15,C15)=1,1,0)</f>
        <v>1</v>
      </c>
    </row>
    <row r="16" ht="15" customHeight="1" spans="1:18">
      <c r="A16" s="1" t="s">
        <v>150</v>
      </c>
      <c r="B16" s="53">
        <v>45700</v>
      </c>
      <c r="C16" s="1" t="s">
        <v>152</v>
      </c>
      <c r="D16" s="1" t="s">
        <v>80</v>
      </c>
      <c r="E16" s="1" t="s">
        <v>55</v>
      </c>
      <c r="F16" s="1" t="s">
        <v>154</v>
      </c>
      <c r="G16" s="1" t="s">
        <v>57</v>
      </c>
      <c r="H16" s="1">
        <v>10</v>
      </c>
      <c r="I16" s="54">
        <v>4084.98</v>
      </c>
      <c r="J16" s="55">
        <v>0.1</v>
      </c>
      <c r="K16" s="54">
        <v>2447.14</v>
      </c>
      <c r="L16" s="54">
        <v>36764.82</v>
      </c>
      <c r="M16" s="54">
        <v>24471.4</v>
      </c>
      <c r="N16" s="54">
        <v>12293.42</v>
      </c>
      <c r="O16" s="1" t="s">
        <v>26</v>
      </c>
      <c r="P16" s="1" t="s">
        <v>696</v>
      </c>
      <c r="Q16" s="1">
        <f>IF(COUNTIF($C$4:C16,C16)=1,1,0)</f>
        <v>1</v>
      </c>
      <c r="R16" s="1">
        <f>IF(COUNTIFS($D$4:D16,D16,$C$4:C16,C16)=1,1,0)</f>
        <v>1</v>
      </c>
    </row>
    <row r="17" ht="15" customHeight="1" spans="1:18">
      <c r="A17" s="1" t="s">
        <v>586</v>
      </c>
      <c r="B17" s="53">
        <v>45704</v>
      </c>
      <c r="C17" s="1" t="s">
        <v>588</v>
      </c>
      <c r="D17" s="1" t="s">
        <v>80</v>
      </c>
      <c r="E17" s="1" t="s">
        <v>16</v>
      </c>
      <c r="F17" s="1" t="s">
        <v>102</v>
      </c>
      <c r="G17" s="1" t="s">
        <v>57</v>
      </c>
      <c r="H17" s="1">
        <v>5</v>
      </c>
      <c r="I17" s="54">
        <v>2873.15</v>
      </c>
      <c r="J17" s="55">
        <v>0</v>
      </c>
      <c r="K17" s="54">
        <v>1417.82</v>
      </c>
      <c r="L17" s="54">
        <v>14365.75</v>
      </c>
      <c r="M17" s="54">
        <v>7089.1</v>
      </c>
      <c r="N17" s="54">
        <v>7276.65</v>
      </c>
      <c r="O17" s="1" t="s">
        <v>32</v>
      </c>
      <c r="P17" s="1" t="s">
        <v>696</v>
      </c>
      <c r="Q17" s="1">
        <f>IF(COUNTIF($C$4:C17,C17)=1,1,0)</f>
        <v>1</v>
      </c>
      <c r="R17" s="1">
        <f>IF(COUNTIFS($D$4:D17,D17,$C$4:C17,C17)=1,1,0)</f>
        <v>1</v>
      </c>
    </row>
    <row r="18" ht="15" customHeight="1" spans="1:18">
      <c r="A18" s="1" t="s">
        <v>564</v>
      </c>
      <c r="B18" s="53">
        <v>45704</v>
      </c>
      <c r="C18" s="1" t="s">
        <v>275</v>
      </c>
      <c r="D18" s="1" t="s">
        <v>41</v>
      </c>
      <c r="E18" s="1" t="s">
        <v>61</v>
      </c>
      <c r="F18" s="1" t="s">
        <v>111</v>
      </c>
      <c r="G18" s="1" t="s">
        <v>90</v>
      </c>
      <c r="H18" s="1">
        <v>7</v>
      </c>
      <c r="I18" s="54">
        <v>2664.68</v>
      </c>
      <c r="J18" s="55">
        <v>0</v>
      </c>
      <c r="K18" s="54">
        <v>1269.8</v>
      </c>
      <c r="L18" s="54">
        <v>18652.76</v>
      </c>
      <c r="M18" s="54">
        <v>8888.6</v>
      </c>
      <c r="N18" s="54">
        <v>9764.16</v>
      </c>
      <c r="O18" s="1" t="s">
        <v>26</v>
      </c>
      <c r="P18" s="1" t="s">
        <v>696</v>
      </c>
      <c r="Q18" s="1">
        <f>IF(COUNTIF($C$4:C18,C18)=1,1,0)</f>
        <v>1</v>
      </c>
      <c r="R18" s="1">
        <f>IF(COUNTIFS($D$4:D18,D18,$C$4:C18,C18)=1,1,0)</f>
        <v>1</v>
      </c>
    </row>
    <row r="19" ht="15" customHeight="1" spans="1:18">
      <c r="A19" s="1" t="s">
        <v>230</v>
      </c>
      <c r="B19" s="53">
        <v>45709</v>
      </c>
      <c r="C19" s="1" t="s">
        <v>232</v>
      </c>
      <c r="D19" s="1" t="s">
        <v>54</v>
      </c>
      <c r="E19" s="1" t="s">
        <v>16</v>
      </c>
      <c r="F19" s="1" t="s">
        <v>49</v>
      </c>
      <c r="G19" s="1" t="s">
        <v>57</v>
      </c>
      <c r="H19" s="1">
        <v>4</v>
      </c>
      <c r="I19" s="54">
        <v>3315.01</v>
      </c>
      <c r="J19" s="55">
        <v>0</v>
      </c>
      <c r="K19" s="54">
        <v>1820.89</v>
      </c>
      <c r="L19" s="54">
        <v>13260.04</v>
      </c>
      <c r="M19" s="54">
        <v>7283.56</v>
      </c>
      <c r="N19" s="54">
        <v>5976.48</v>
      </c>
      <c r="O19" s="1" t="s">
        <v>32</v>
      </c>
      <c r="P19" s="1" t="s">
        <v>696</v>
      </c>
      <c r="Q19" s="1">
        <f>IF(COUNTIF($C$4:C19,C19)=1,1,0)</f>
        <v>1</v>
      </c>
      <c r="R19" s="1">
        <f>IF(COUNTIFS($D$4:D19,D19,$C$4:C19,C19)=1,1,0)</f>
        <v>1</v>
      </c>
    </row>
    <row r="20" ht="15" customHeight="1" spans="1:18">
      <c r="A20" s="1" t="s">
        <v>287</v>
      </c>
      <c r="B20" s="53">
        <v>45712</v>
      </c>
      <c r="C20" s="1" t="s">
        <v>289</v>
      </c>
      <c r="D20" s="1" t="s">
        <v>54</v>
      </c>
      <c r="E20" s="1" t="s">
        <v>55</v>
      </c>
      <c r="F20" s="1" t="s">
        <v>141</v>
      </c>
      <c r="G20" s="1" t="s">
        <v>18</v>
      </c>
      <c r="H20" s="1">
        <v>8</v>
      </c>
      <c r="I20" s="54">
        <v>4456.76</v>
      </c>
      <c r="J20" s="55">
        <v>0.05</v>
      </c>
      <c r="K20" s="54">
        <v>2819.43</v>
      </c>
      <c r="L20" s="54">
        <v>33871.38</v>
      </c>
      <c r="M20" s="54">
        <v>22555.44</v>
      </c>
      <c r="N20" s="54">
        <v>11315.94</v>
      </c>
      <c r="O20" s="1" t="s">
        <v>44</v>
      </c>
      <c r="P20" s="1" t="s">
        <v>696</v>
      </c>
      <c r="Q20" s="1">
        <f>IF(COUNTIF($C$4:C20,C20)=1,1,0)</f>
        <v>1</v>
      </c>
      <c r="R20" s="1">
        <f>IF(COUNTIFS($D$4:D20,D20,$C$4:C20,C20)=1,1,0)</f>
        <v>1</v>
      </c>
    </row>
    <row r="21" ht="15" customHeight="1" spans="1:18">
      <c r="A21" s="1" t="s">
        <v>440</v>
      </c>
      <c r="B21" s="53">
        <v>45712</v>
      </c>
      <c r="C21" s="1" t="s">
        <v>339</v>
      </c>
      <c r="D21" s="1" t="s">
        <v>41</v>
      </c>
      <c r="E21" s="1" t="s">
        <v>55</v>
      </c>
      <c r="F21" s="1" t="s">
        <v>56</v>
      </c>
      <c r="G21" s="1" t="s">
        <v>112</v>
      </c>
      <c r="H21" s="1">
        <v>5</v>
      </c>
      <c r="I21" s="54">
        <v>958.39</v>
      </c>
      <c r="J21" s="55">
        <v>0.05</v>
      </c>
      <c r="K21" s="54">
        <v>458.73</v>
      </c>
      <c r="L21" s="54">
        <v>4552.35</v>
      </c>
      <c r="M21" s="54">
        <v>2293.65</v>
      </c>
      <c r="N21" s="54">
        <v>2258.7</v>
      </c>
      <c r="O21" s="1" t="s">
        <v>26</v>
      </c>
      <c r="P21" s="1" t="s">
        <v>696</v>
      </c>
      <c r="Q21" s="1">
        <f>IF(COUNTIF($C$4:C21,C21)=1,1,0)</f>
        <v>1</v>
      </c>
      <c r="R21" s="1">
        <f>IF(COUNTIFS($D$4:D21,D21,$C$4:C21,C21)=1,1,0)</f>
        <v>1</v>
      </c>
    </row>
    <row r="22" ht="15" customHeight="1" spans="1:18">
      <c r="A22" s="1" t="s">
        <v>558</v>
      </c>
      <c r="B22" s="53">
        <v>45712</v>
      </c>
      <c r="C22" s="1" t="s">
        <v>559</v>
      </c>
      <c r="D22" s="1" t="s">
        <v>80</v>
      </c>
      <c r="E22" s="1" t="s">
        <v>42</v>
      </c>
      <c r="F22" s="1" t="s">
        <v>146</v>
      </c>
      <c r="G22" s="1" t="s">
        <v>31</v>
      </c>
      <c r="H22" s="1">
        <v>10</v>
      </c>
      <c r="I22" s="54">
        <v>1681.04</v>
      </c>
      <c r="J22" s="55">
        <v>0.05</v>
      </c>
      <c r="K22" s="54">
        <v>1030.15</v>
      </c>
      <c r="L22" s="54">
        <v>15969.88</v>
      </c>
      <c r="M22" s="54">
        <v>10301.5</v>
      </c>
      <c r="N22" s="54">
        <v>5668.38</v>
      </c>
      <c r="O22" s="1" t="s">
        <v>50</v>
      </c>
      <c r="P22" s="1" t="s">
        <v>696</v>
      </c>
      <c r="Q22" s="1">
        <f>IF(COUNTIF($C$4:C22,C22)=1,1,0)</f>
        <v>1</v>
      </c>
      <c r="R22" s="1">
        <f>IF(COUNTIFS($D$4:D22,D22,$C$4:C22,C22)=1,1,0)</f>
        <v>1</v>
      </c>
    </row>
    <row r="23" ht="15" customHeight="1" spans="1:18">
      <c r="A23" s="1" t="s">
        <v>580</v>
      </c>
      <c r="B23" s="53">
        <v>45713</v>
      </c>
      <c r="C23" s="1" t="s">
        <v>189</v>
      </c>
      <c r="D23" s="1" t="s">
        <v>48</v>
      </c>
      <c r="E23" s="1" t="s">
        <v>42</v>
      </c>
      <c r="F23" s="1" t="s">
        <v>158</v>
      </c>
      <c r="G23" s="1" t="s">
        <v>31</v>
      </c>
      <c r="H23" s="1">
        <v>11</v>
      </c>
      <c r="I23" s="54">
        <v>3477.59</v>
      </c>
      <c r="J23" s="55">
        <v>0.2</v>
      </c>
      <c r="K23" s="54">
        <v>1725.65</v>
      </c>
      <c r="L23" s="54">
        <v>30602.79</v>
      </c>
      <c r="M23" s="54">
        <v>18982.15</v>
      </c>
      <c r="N23" s="54">
        <v>11620.64</v>
      </c>
      <c r="O23" s="1" t="s">
        <v>32</v>
      </c>
      <c r="P23" s="1" t="s">
        <v>696</v>
      </c>
      <c r="Q23" s="1">
        <f>IF(COUNTIF($C$4:C23,C23)=1,1,0)</f>
        <v>1</v>
      </c>
      <c r="R23" s="1">
        <f>IF(COUNTIFS($D$4:D23,D23,$C$4:C23,C23)=1,1,0)</f>
        <v>1</v>
      </c>
    </row>
    <row r="24" ht="15" customHeight="1" spans="1:18">
      <c r="A24" s="1" t="s">
        <v>468</v>
      </c>
      <c r="B24" s="53">
        <v>45713</v>
      </c>
      <c r="C24" s="1" t="s">
        <v>470</v>
      </c>
      <c r="D24" s="1" t="s">
        <v>30</v>
      </c>
      <c r="E24" s="1" t="s">
        <v>61</v>
      </c>
      <c r="F24" s="1" t="s">
        <v>62</v>
      </c>
      <c r="G24" s="1" t="s">
        <v>38</v>
      </c>
      <c r="H24" s="1">
        <v>9</v>
      </c>
      <c r="I24" s="54">
        <v>1185.64</v>
      </c>
      <c r="J24" s="55">
        <v>0.15</v>
      </c>
      <c r="K24" s="54">
        <v>590.37</v>
      </c>
      <c r="L24" s="54">
        <v>9070.15</v>
      </c>
      <c r="M24" s="54">
        <v>5313.33</v>
      </c>
      <c r="N24" s="54">
        <v>3756.82</v>
      </c>
      <c r="O24" s="1" t="s">
        <v>26</v>
      </c>
      <c r="P24" s="1" t="s">
        <v>696</v>
      </c>
      <c r="Q24" s="1">
        <f>IF(COUNTIF($C$4:C24,C24)=1,1,0)</f>
        <v>1</v>
      </c>
      <c r="R24" s="1">
        <f>IF(COUNTIFS($D$4:D24,D24,$C$4:C24,C24)=1,1,0)</f>
        <v>1</v>
      </c>
    </row>
    <row r="25" ht="15" customHeight="1" spans="1:18">
      <c r="A25" s="1" t="s">
        <v>381</v>
      </c>
      <c r="B25" s="53">
        <v>45715</v>
      </c>
      <c r="C25" s="1" t="s">
        <v>382</v>
      </c>
      <c r="D25" s="1" t="s">
        <v>54</v>
      </c>
      <c r="E25" s="1" t="s">
        <v>16</v>
      </c>
      <c r="F25" s="1" t="s">
        <v>174</v>
      </c>
      <c r="G25" s="1" t="s">
        <v>112</v>
      </c>
      <c r="H25" s="1">
        <v>8</v>
      </c>
      <c r="I25" s="54">
        <v>1400.39</v>
      </c>
      <c r="J25" s="55">
        <v>0.2</v>
      </c>
      <c r="K25" s="54">
        <v>636.22</v>
      </c>
      <c r="L25" s="54">
        <v>8962.5</v>
      </c>
      <c r="M25" s="54">
        <v>5089.76</v>
      </c>
      <c r="N25" s="54">
        <v>3872.74</v>
      </c>
      <c r="O25" s="1" t="s">
        <v>44</v>
      </c>
      <c r="P25" s="1" t="s">
        <v>696</v>
      </c>
      <c r="Q25" s="1">
        <f>IF(COUNTIF($C$4:C25,C25)=1,1,0)</f>
        <v>1</v>
      </c>
      <c r="R25" s="1">
        <f>IF(COUNTIFS($D$4:D25,D25,$C$4:C25,C25)=1,1,0)</f>
        <v>1</v>
      </c>
    </row>
    <row r="26" ht="15" customHeight="1" spans="1:18">
      <c r="A26" s="1" t="s">
        <v>206</v>
      </c>
      <c r="B26" s="53">
        <v>45715</v>
      </c>
      <c r="C26" s="1" t="s">
        <v>208</v>
      </c>
      <c r="D26" s="1" t="s">
        <v>48</v>
      </c>
      <c r="E26" s="1" t="s">
        <v>16</v>
      </c>
      <c r="F26" s="1" t="s">
        <v>17</v>
      </c>
      <c r="G26" s="1" t="s">
        <v>18</v>
      </c>
      <c r="H26" s="1">
        <v>12</v>
      </c>
      <c r="I26" s="54">
        <v>1706.49</v>
      </c>
      <c r="J26" s="55">
        <v>0</v>
      </c>
      <c r="K26" s="54">
        <v>694.95</v>
      </c>
      <c r="L26" s="54">
        <v>20477.88</v>
      </c>
      <c r="M26" s="54">
        <v>8339.4</v>
      </c>
      <c r="N26" s="54">
        <v>12138.48</v>
      </c>
      <c r="O26" s="1" t="s">
        <v>44</v>
      </c>
      <c r="P26" s="1" t="s">
        <v>696</v>
      </c>
      <c r="Q26" s="1">
        <f>IF(COUNTIF($C$4:C26,C26)=1,1,0)</f>
        <v>1</v>
      </c>
      <c r="R26" s="1">
        <f>IF(COUNTIFS($D$4:D26,D26,$C$4:C26,C26)=1,1,0)</f>
        <v>1</v>
      </c>
    </row>
    <row r="27" ht="15" customHeight="1" spans="1:18">
      <c r="A27" s="1" t="s">
        <v>448</v>
      </c>
      <c r="B27" s="53">
        <v>45718</v>
      </c>
      <c r="C27" s="1" t="s">
        <v>449</v>
      </c>
      <c r="D27" s="1" t="s">
        <v>48</v>
      </c>
      <c r="E27" s="1" t="s">
        <v>61</v>
      </c>
      <c r="F27" s="1" t="s">
        <v>120</v>
      </c>
      <c r="G27" s="1" t="s">
        <v>18</v>
      </c>
      <c r="H27" s="1">
        <v>10</v>
      </c>
      <c r="I27" s="54">
        <v>953.4</v>
      </c>
      <c r="J27" s="55">
        <v>0</v>
      </c>
      <c r="K27" s="54">
        <v>430.61</v>
      </c>
      <c r="L27" s="54">
        <v>9534</v>
      </c>
      <c r="M27" s="54">
        <v>4306.1</v>
      </c>
      <c r="N27" s="54">
        <v>5227.9</v>
      </c>
      <c r="O27" s="1" t="s">
        <v>50</v>
      </c>
      <c r="P27" s="1" t="s">
        <v>698</v>
      </c>
      <c r="Q27" s="1">
        <f>IF(COUNTIF($C$4:C27,C27)=1,1,0)</f>
        <v>1</v>
      </c>
      <c r="R27" s="1">
        <f>IF(COUNTIFS($D$4:D27,D27,$C$4:C27,C27)=1,1,0)</f>
        <v>1</v>
      </c>
    </row>
    <row r="28" ht="15" customHeight="1" spans="1:18">
      <c r="A28" s="1" t="s">
        <v>74</v>
      </c>
      <c r="B28" s="53">
        <v>45718</v>
      </c>
      <c r="C28" s="1" t="s">
        <v>76</v>
      </c>
      <c r="D28" s="1" t="s">
        <v>41</v>
      </c>
      <c r="E28" s="1" t="s">
        <v>16</v>
      </c>
      <c r="F28" s="1" t="s">
        <v>17</v>
      </c>
      <c r="G28" s="1" t="s">
        <v>18</v>
      </c>
      <c r="H28" s="1">
        <v>7</v>
      </c>
      <c r="I28" s="54">
        <v>2581.51</v>
      </c>
      <c r="J28" s="55">
        <v>0.05</v>
      </c>
      <c r="K28" s="54">
        <v>1170.55</v>
      </c>
      <c r="L28" s="54">
        <v>17167.04</v>
      </c>
      <c r="M28" s="54">
        <v>8193.85</v>
      </c>
      <c r="N28" s="54">
        <v>8973.19</v>
      </c>
      <c r="O28" s="1" t="s">
        <v>19</v>
      </c>
      <c r="P28" s="1" t="s">
        <v>698</v>
      </c>
      <c r="Q28" s="1">
        <f>IF(COUNTIF($C$4:C28,C28)=1,1,0)</f>
        <v>1</v>
      </c>
      <c r="R28" s="1">
        <f>IF(COUNTIFS($D$4:D28,D28,$C$4:C28,C28)=1,1,0)</f>
        <v>1</v>
      </c>
    </row>
    <row r="29" ht="15" customHeight="1" spans="1:18">
      <c r="A29" s="1" t="s">
        <v>618</v>
      </c>
      <c r="B29" s="53">
        <v>45722</v>
      </c>
      <c r="C29" s="1" t="s">
        <v>329</v>
      </c>
      <c r="D29" s="1" t="s">
        <v>48</v>
      </c>
      <c r="E29" s="1" t="s">
        <v>42</v>
      </c>
      <c r="F29" s="1" t="s">
        <v>43</v>
      </c>
      <c r="G29" s="1" t="s">
        <v>31</v>
      </c>
      <c r="H29" s="1">
        <v>1</v>
      </c>
      <c r="I29" s="54">
        <v>2129.66</v>
      </c>
      <c r="J29" s="55">
        <v>0</v>
      </c>
      <c r="K29" s="54">
        <v>914.85</v>
      </c>
      <c r="L29" s="54">
        <v>2129.66</v>
      </c>
      <c r="M29" s="54">
        <v>914.85</v>
      </c>
      <c r="N29" s="54">
        <v>1214.81</v>
      </c>
      <c r="O29" s="1" t="s">
        <v>136</v>
      </c>
      <c r="P29" s="1" t="s">
        <v>698</v>
      </c>
      <c r="Q29" s="1">
        <f>IF(COUNTIF($C$4:C29,C29)=1,1,0)</f>
        <v>1</v>
      </c>
      <c r="R29" s="1">
        <f>IF(COUNTIFS($D$4:D29,D29,$C$4:C29,C29)=1,1,0)</f>
        <v>1</v>
      </c>
    </row>
    <row r="30" ht="15" customHeight="1" spans="1:18">
      <c r="A30" s="1" t="s">
        <v>374</v>
      </c>
      <c r="B30" s="53">
        <v>45728</v>
      </c>
      <c r="C30" s="1" t="s">
        <v>375</v>
      </c>
      <c r="D30" s="1" t="s">
        <v>54</v>
      </c>
      <c r="E30" s="1" t="s">
        <v>24</v>
      </c>
      <c r="F30" s="1" t="s">
        <v>235</v>
      </c>
      <c r="G30" s="1" t="s">
        <v>112</v>
      </c>
      <c r="H30" s="1">
        <v>6</v>
      </c>
      <c r="I30" s="54">
        <v>3590.81</v>
      </c>
      <c r="J30" s="55">
        <v>0</v>
      </c>
      <c r="K30" s="54">
        <v>1922.13</v>
      </c>
      <c r="L30" s="54">
        <v>21544.86</v>
      </c>
      <c r="M30" s="54">
        <v>11532.78</v>
      </c>
      <c r="N30" s="54">
        <v>10012.08</v>
      </c>
      <c r="O30" s="1" t="s">
        <v>44</v>
      </c>
      <c r="P30" s="1" t="s">
        <v>698</v>
      </c>
      <c r="Q30" s="1">
        <f>IF(COUNTIF($C$4:C30,C30)=1,1,0)</f>
        <v>1</v>
      </c>
      <c r="R30" s="1">
        <f>IF(COUNTIFS($D$4:D30,D30,$C$4:C30,C30)=1,1,0)</f>
        <v>1</v>
      </c>
    </row>
    <row r="31" ht="15" customHeight="1" spans="1:18">
      <c r="A31" s="1" t="s">
        <v>58</v>
      </c>
      <c r="B31" s="53">
        <v>45728</v>
      </c>
      <c r="C31" s="1" t="s">
        <v>60</v>
      </c>
      <c r="D31" s="1" t="s">
        <v>54</v>
      </c>
      <c r="E31" s="1" t="s">
        <v>61</v>
      </c>
      <c r="F31" s="1" t="s">
        <v>62</v>
      </c>
      <c r="G31" s="1" t="s">
        <v>18</v>
      </c>
      <c r="H31" s="1">
        <v>10</v>
      </c>
      <c r="I31" s="54">
        <v>4749.66</v>
      </c>
      <c r="J31" s="55">
        <v>0.05</v>
      </c>
      <c r="K31" s="54">
        <v>2001.57</v>
      </c>
      <c r="L31" s="54">
        <v>45121.77</v>
      </c>
      <c r="M31" s="54">
        <v>20015.7</v>
      </c>
      <c r="N31" s="54">
        <v>25106.07</v>
      </c>
      <c r="O31" s="1" t="s">
        <v>32</v>
      </c>
      <c r="P31" s="1" t="s">
        <v>698</v>
      </c>
      <c r="Q31" s="1">
        <f>IF(COUNTIF($C$4:C31,C31)=1,1,0)</f>
        <v>1</v>
      </c>
      <c r="R31" s="1">
        <f>IF(COUNTIFS($D$4:D31,D31,$C$4:C31,C31)=1,1,0)</f>
        <v>1</v>
      </c>
    </row>
    <row r="32" ht="15" customHeight="1" spans="1:18">
      <c r="A32" s="1" t="s">
        <v>615</v>
      </c>
      <c r="B32" s="53">
        <v>45731</v>
      </c>
      <c r="C32" s="1" t="s">
        <v>617</v>
      </c>
      <c r="D32" s="1" t="s">
        <v>41</v>
      </c>
      <c r="E32" s="1" t="s">
        <v>42</v>
      </c>
      <c r="F32" s="1" t="s">
        <v>85</v>
      </c>
      <c r="G32" s="1" t="s">
        <v>38</v>
      </c>
      <c r="H32" s="1">
        <v>12</v>
      </c>
      <c r="I32" s="54">
        <v>4428.59</v>
      </c>
      <c r="J32" s="55">
        <v>0.05</v>
      </c>
      <c r="K32" s="54">
        <v>2592.25</v>
      </c>
      <c r="L32" s="54">
        <v>50485.93</v>
      </c>
      <c r="M32" s="54">
        <v>31107</v>
      </c>
      <c r="N32" s="54">
        <v>19378.93</v>
      </c>
      <c r="O32" s="1" t="s">
        <v>26</v>
      </c>
      <c r="P32" s="1" t="s">
        <v>698</v>
      </c>
      <c r="Q32" s="1">
        <f>IF(COUNTIF($C$4:C32,C32)=1,1,0)</f>
        <v>1</v>
      </c>
      <c r="R32" s="1">
        <f>IF(COUNTIFS($D$4:D32,D32,$C$4:C32,C32)=1,1,0)</f>
        <v>1</v>
      </c>
    </row>
    <row r="33" ht="15" customHeight="1" spans="1:18">
      <c r="A33" s="1" t="s">
        <v>471</v>
      </c>
      <c r="B33" s="53">
        <v>45732</v>
      </c>
      <c r="C33" s="1" t="s">
        <v>473</v>
      </c>
      <c r="D33" s="1" t="s">
        <v>80</v>
      </c>
      <c r="E33" s="1" t="s">
        <v>24</v>
      </c>
      <c r="F33" s="1" t="s">
        <v>124</v>
      </c>
      <c r="G33" s="1" t="s">
        <v>38</v>
      </c>
      <c r="H33" s="1">
        <v>11</v>
      </c>
      <c r="I33" s="54">
        <v>1111.02</v>
      </c>
      <c r="J33" s="55">
        <v>0.2</v>
      </c>
      <c r="K33" s="54">
        <v>575.23</v>
      </c>
      <c r="L33" s="54">
        <v>9776.98</v>
      </c>
      <c r="M33" s="54">
        <v>6327.53</v>
      </c>
      <c r="N33" s="54">
        <v>3449.45</v>
      </c>
      <c r="O33" s="1" t="s">
        <v>19</v>
      </c>
      <c r="P33" s="1" t="s">
        <v>698</v>
      </c>
      <c r="Q33" s="1">
        <f>IF(COUNTIF($C$4:C33,C33)=1,1,0)</f>
        <v>1</v>
      </c>
      <c r="R33" s="1">
        <f>IF(COUNTIFS($D$4:D33,D33,$C$4:C33,C33)=1,1,0)</f>
        <v>1</v>
      </c>
    </row>
    <row r="34" ht="15" customHeight="1" spans="1:18">
      <c r="A34" s="1" t="s">
        <v>479</v>
      </c>
      <c r="B34" s="53">
        <v>45736</v>
      </c>
      <c r="C34" s="1" t="s">
        <v>481</v>
      </c>
      <c r="D34" s="1" t="s">
        <v>54</v>
      </c>
      <c r="E34" s="1" t="s">
        <v>61</v>
      </c>
      <c r="F34" s="1" t="s">
        <v>94</v>
      </c>
      <c r="G34" s="1" t="s">
        <v>31</v>
      </c>
      <c r="H34" s="1">
        <v>7</v>
      </c>
      <c r="I34" s="54">
        <v>1577.31</v>
      </c>
      <c r="J34" s="55">
        <v>0.15</v>
      </c>
      <c r="K34" s="54">
        <v>656.11</v>
      </c>
      <c r="L34" s="54">
        <v>9384.99</v>
      </c>
      <c r="M34" s="54">
        <v>4592.77</v>
      </c>
      <c r="N34" s="54">
        <v>4792.22</v>
      </c>
      <c r="O34" s="1" t="s">
        <v>50</v>
      </c>
      <c r="P34" s="1" t="s">
        <v>698</v>
      </c>
      <c r="Q34" s="1">
        <f>IF(COUNTIF($C$4:C34,C34)=1,1,0)</f>
        <v>1</v>
      </c>
      <c r="R34" s="1">
        <f>IF(COUNTIFS($D$4:D34,D34,$C$4:C34,C34)=1,1,0)</f>
        <v>1</v>
      </c>
    </row>
    <row r="35" ht="15" customHeight="1" spans="1:18">
      <c r="A35" s="1" t="s">
        <v>407</v>
      </c>
      <c r="B35" s="53">
        <v>45738</v>
      </c>
      <c r="C35" s="1" t="s">
        <v>409</v>
      </c>
      <c r="D35" s="1" t="s">
        <v>30</v>
      </c>
      <c r="E35" s="1" t="s">
        <v>24</v>
      </c>
      <c r="F35" s="1" t="s">
        <v>124</v>
      </c>
      <c r="G35" s="1" t="s">
        <v>31</v>
      </c>
      <c r="H35" s="1">
        <v>7</v>
      </c>
      <c r="I35" s="54">
        <v>3850.36</v>
      </c>
      <c r="J35" s="55">
        <v>0.15</v>
      </c>
      <c r="K35" s="54">
        <v>1674.86</v>
      </c>
      <c r="L35" s="54">
        <v>22909.64</v>
      </c>
      <c r="M35" s="54">
        <v>11724.02</v>
      </c>
      <c r="N35" s="54">
        <v>11185.62</v>
      </c>
      <c r="O35" s="1" t="s">
        <v>44</v>
      </c>
      <c r="P35" s="1" t="s">
        <v>698</v>
      </c>
      <c r="Q35" s="1">
        <f>IF(COUNTIF($C$4:C35,C35)=1,1,0)</f>
        <v>1</v>
      </c>
      <c r="R35" s="1">
        <f>IF(COUNTIFS($D$4:D35,D35,$C$4:C35,C35)=1,1,0)</f>
        <v>1</v>
      </c>
    </row>
    <row r="36" ht="15" customHeight="1" spans="1:18">
      <c r="A36" s="1" t="s">
        <v>535</v>
      </c>
      <c r="B36" s="53">
        <v>45738</v>
      </c>
      <c r="C36" s="1" t="s">
        <v>127</v>
      </c>
      <c r="D36" s="1" t="s">
        <v>41</v>
      </c>
      <c r="E36" s="1" t="s">
        <v>16</v>
      </c>
      <c r="F36" s="1" t="s">
        <v>49</v>
      </c>
      <c r="G36" s="1" t="s">
        <v>18</v>
      </c>
      <c r="H36" s="1">
        <v>4</v>
      </c>
      <c r="I36" s="54">
        <v>4098.77</v>
      </c>
      <c r="J36" s="55">
        <v>0.05</v>
      </c>
      <c r="K36" s="54">
        <v>1768.81</v>
      </c>
      <c r="L36" s="54">
        <v>15575.33</v>
      </c>
      <c r="M36" s="54">
        <v>7075.24</v>
      </c>
      <c r="N36" s="54">
        <v>8500.09</v>
      </c>
      <c r="O36" s="1" t="s">
        <v>136</v>
      </c>
      <c r="P36" s="1" t="s">
        <v>698</v>
      </c>
      <c r="Q36" s="1">
        <f>IF(COUNTIF($C$4:C36,C36)=1,1,0)</f>
        <v>1</v>
      </c>
      <c r="R36" s="1">
        <f>IF(COUNTIFS($D$4:D36,D36,$C$4:C36,C36)=1,1,0)</f>
        <v>1</v>
      </c>
    </row>
    <row r="37" ht="15" customHeight="1" spans="1:18">
      <c r="A37" s="1" t="s">
        <v>368</v>
      </c>
      <c r="B37" s="53">
        <v>45741</v>
      </c>
      <c r="C37" s="1" t="s">
        <v>370</v>
      </c>
      <c r="D37" s="1" t="s">
        <v>30</v>
      </c>
      <c r="E37" s="1" t="s">
        <v>24</v>
      </c>
      <c r="F37" s="1" t="s">
        <v>124</v>
      </c>
      <c r="G37" s="1" t="s">
        <v>57</v>
      </c>
      <c r="H37" s="1">
        <v>4</v>
      </c>
      <c r="I37" s="54">
        <v>3879.74</v>
      </c>
      <c r="J37" s="55">
        <v>0.1</v>
      </c>
      <c r="K37" s="54">
        <v>2211.78</v>
      </c>
      <c r="L37" s="54">
        <v>13967.06</v>
      </c>
      <c r="M37" s="54">
        <v>8847.12</v>
      </c>
      <c r="N37" s="54">
        <v>5119.94</v>
      </c>
      <c r="O37" s="1" t="s">
        <v>50</v>
      </c>
      <c r="P37" s="1" t="s">
        <v>698</v>
      </c>
      <c r="Q37" s="1">
        <f>IF(COUNTIF($C$4:C37,C37)=1,1,0)</f>
        <v>1</v>
      </c>
      <c r="R37" s="1">
        <f>IF(COUNTIFS($D$4:D37,D37,$C$4:C37,C37)=1,1,0)</f>
        <v>1</v>
      </c>
    </row>
    <row r="38" ht="15" customHeight="1" spans="1:18">
      <c r="A38" s="1" t="s">
        <v>422</v>
      </c>
      <c r="B38" s="53">
        <v>45745</v>
      </c>
      <c r="C38" s="1" t="s">
        <v>424</v>
      </c>
      <c r="D38" s="1" t="s">
        <v>30</v>
      </c>
      <c r="E38" s="1" t="s">
        <v>24</v>
      </c>
      <c r="F38" s="1" t="s">
        <v>124</v>
      </c>
      <c r="G38" s="1" t="s">
        <v>38</v>
      </c>
      <c r="H38" s="1">
        <v>12</v>
      </c>
      <c r="I38" s="54">
        <v>2265.01</v>
      </c>
      <c r="J38" s="55">
        <v>0</v>
      </c>
      <c r="K38" s="54">
        <v>926.82</v>
      </c>
      <c r="L38" s="54">
        <v>27180.12</v>
      </c>
      <c r="M38" s="54">
        <v>11121.84</v>
      </c>
      <c r="N38" s="54">
        <v>16058.28</v>
      </c>
      <c r="O38" s="1" t="s">
        <v>32</v>
      </c>
      <c r="P38" s="1" t="s">
        <v>698</v>
      </c>
      <c r="Q38" s="1">
        <f>IF(COUNTIF($C$4:C38,C38)=1,1,0)</f>
        <v>1</v>
      </c>
      <c r="R38" s="1">
        <f>IF(COUNTIFS($D$4:D38,D38,$C$4:C38,C38)=1,1,0)</f>
        <v>1</v>
      </c>
    </row>
    <row r="39" ht="15" customHeight="1" spans="1:18">
      <c r="A39" s="1" t="s">
        <v>13</v>
      </c>
      <c r="B39" s="53">
        <v>45747</v>
      </c>
      <c r="C39" s="1" t="s">
        <v>695</v>
      </c>
      <c r="D39" s="1" t="s">
        <v>80</v>
      </c>
      <c r="E39" s="1" t="s">
        <v>16</v>
      </c>
      <c r="F39" s="1" t="s">
        <v>17</v>
      </c>
      <c r="G39" s="1" t="s">
        <v>18</v>
      </c>
      <c r="H39" s="1">
        <v>4</v>
      </c>
      <c r="I39" s="54">
        <v>954.83</v>
      </c>
      <c r="J39" s="55">
        <v>0.15</v>
      </c>
      <c r="K39" s="54">
        <v>406.4</v>
      </c>
      <c r="L39" s="54">
        <v>3246.42</v>
      </c>
      <c r="M39" s="54">
        <v>1625.6</v>
      </c>
      <c r="N39" s="54">
        <v>1620.82</v>
      </c>
      <c r="O39" s="1" t="s">
        <v>19</v>
      </c>
      <c r="P39" s="1" t="s">
        <v>698</v>
      </c>
      <c r="Q39" s="1">
        <f>IF(COUNTIF($C$4:C39,C39)=1,1,0)</f>
        <v>0</v>
      </c>
      <c r="R39" s="1">
        <f>IF(COUNTIFS($D$4:D39,D39,$C$4:C39,C39)=1,1,0)</f>
        <v>0</v>
      </c>
    </row>
    <row r="40" ht="15" customHeight="1" spans="1:18">
      <c r="A40" s="1" t="s">
        <v>243</v>
      </c>
      <c r="B40" s="53">
        <v>45755</v>
      </c>
      <c r="C40" s="1" t="s">
        <v>245</v>
      </c>
      <c r="D40" s="1" t="s">
        <v>41</v>
      </c>
      <c r="E40" s="1" t="s">
        <v>42</v>
      </c>
      <c r="F40" s="1" t="s">
        <v>43</v>
      </c>
      <c r="G40" s="1" t="s">
        <v>112</v>
      </c>
      <c r="H40" s="1">
        <v>6</v>
      </c>
      <c r="I40" s="54">
        <v>4187.87</v>
      </c>
      <c r="J40" s="55">
        <v>0.15</v>
      </c>
      <c r="K40" s="54">
        <v>2092.61</v>
      </c>
      <c r="L40" s="54">
        <v>21358.14</v>
      </c>
      <c r="M40" s="54">
        <v>12555.66</v>
      </c>
      <c r="N40" s="54">
        <v>8802.48</v>
      </c>
      <c r="O40" s="1" t="s">
        <v>44</v>
      </c>
      <c r="P40" s="1" t="s">
        <v>699</v>
      </c>
      <c r="Q40" s="1">
        <f>IF(COUNTIF($C$4:C40,C40)=1,1,0)</f>
        <v>1</v>
      </c>
      <c r="R40" s="1">
        <f>IF(COUNTIFS($D$4:D40,D40,$C$4:C40,C40)=1,1,0)</f>
        <v>1</v>
      </c>
    </row>
    <row r="41" ht="15" customHeight="1" spans="1:18">
      <c r="A41" s="1" t="s">
        <v>541</v>
      </c>
      <c r="B41" s="53">
        <v>45758</v>
      </c>
      <c r="C41" s="1" t="s">
        <v>452</v>
      </c>
      <c r="D41" s="1" t="s">
        <v>80</v>
      </c>
      <c r="E41" s="1" t="s">
        <v>16</v>
      </c>
      <c r="F41" s="1" t="s">
        <v>102</v>
      </c>
      <c r="G41" s="1" t="s">
        <v>31</v>
      </c>
      <c r="H41" s="1">
        <v>5</v>
      </c>
      <c r="I41" s="54">
        <v>4260.38</v>
      </c>
      <c r="J41" s="55">
        <v>0.15</v>
      </c>
      <c r="K41" s="54">
        <v>2618.25</v>
      </c>
      <c r="L41" s="54">
        <v>18106.62</v>
      </c>
      <c r="M41" s="54">
        <v>13091.25</v>
      </c>
      <c r="N41" s="54">
        <v>5015.37</v>
      </c>
      <c r="O41" s="1" t="s">
        <v>44</v>
      </c>
      <c r="P41" s="1" t="s">
        <v>699</v>
      </c>
      <c r="Q41" s="1">
        <f>IF(COUNTIF($C$4:C41,C41)=1,1,0)</f>
        <v>1</v>
      </c>
      <c r="R41" s="1">
        <f>IF(COUNTIFS($D$4:D41,D41,$C$4:C41,C41)=1,1,0)</f>
        <v>1</v>
      </c>
    </row>
    <row r="42" ht="15" customHeight="1" spans="1:18">
      <c r="A42" s="1" t="s">
        <v>279</v>
      </c>
      <c r="B42" s="53">
        <v>45761</v>
      </c>
      <c r="C42" s="1" t="s">
        <v>281</v>
      </c>
      <c r="D42" s="1" t="s">
        <v>48</v>
      </c>
      <c r="E42" s="1" t="s">
        <v>55</v>
      </c>
      <c r="F42" s="1" t="s">
        <v>66</v>
      </c>
      <c r="G42" s="1" t="s">
        <v>18</v>
      </c>
      <c r="H42" s="1">
        <v>4</v>
      </c>
      <c r="I42" s="54">
        <v>4998.89</v>
      </c>
      <c r="J42" s="55">
        <v>0</v>
      </c>
      <c r="K42" s="54">
        <v>2193.19</v>
      </c>
      <c r="L42" s="54">
        <v>19995.56</v>
      </c>
      <c r="M42" s="54">
        <v>8772.76</v>
      </c>
      <c r="N42" s="54">
        <v>11222.8</v>
      </c>
      <c r="O42" s="1" t="s">
        <v>50</v>
      </c>
      <c r="P42" s="1" t="s">
        <v>699</v>
      </c>
      <c r="Q42" s="1">
        <f>IF(COUNTIF($C$4:C42,C42)=1,1,0)</f>
        <v>1</v>
      </c>
      <c r="R42" s="1">
        <f>IF(COUNTIFS($D$4:D42,D42,$C$4:C42,C42)=1,1,0)</f>
        <v>1</v>
      </c>
    </row>
    <row r="43" ht="15" customHeight="1" spans="1:18">
      <c r="A43" s="1" t="s">
        <v>571</v>
      </c>
      <c r="B43" s="53">
        <v>45761</v>
      </c>
      <c r="C43" s="1" t="s">
        <v>436</v>
      </c>
      <c r="D43" s="1" t="s">
        <v>48</v>
      </c>
      <c r="E43" s="1" t="s">
        <v>16</v>
      </c>
      <c r="F43" s="1" t="s">
        <v>37</v>
      </c>
      <c r="G43" s="1" t="s">
        <v>18</v>
      </c>
      <c r="H43" s="1">
        <v>2</v>
      </c>
      <c r="I43" s="54">
        <v>3962.77</v>
      </c>
      <c r="J43" s="55">
        <v>0.15</v>
      </c>
      <c r="K43" s="54">
        <v>1659.46</v>
      </c>
      <c r="L43" s="54">
        <v>6736.71</v>
      </c>
      <c r="M43" s="54">
        <v>3318.92</v>
      </c>
      <c r="N43" s="54">
        <v>3417.79</v>
      </c>
      <c r="O43" s="1" t="s">
        <v>32</v>
      </c>
      <c r="P43" s="1" t="s">
        <v>699</v>
      </c>
      <c r="Q43" s="1">
        <f>IF(COUNTIF($C$4:C43,C43)=1,1,0)</f>
        <v>1</v>
      </c>
      <c r="R43" s="1">
        <f>IF(COUNTIFS($D$4:D43,D43,$C$4:C43,C43)=1,1,0)</f>
        <v>1</v>
      </c>
    </row>
    <row r="44" ht="15" customHeight="1" spans="1:18">
      <c r="A44" s="1" t="s">
        <v>516</v>
      </c>
      <c r="B44" s="53">
        <v>45764</v>
      </c>
      <c r="C44" s="1" t="s">
        <v>518</v>
      </c>
      <c r="D44" s="1" t="s">
        <v>41</v>
      </c>
      <c r="E44" s="1" t="s">
        <v>24</v>
      </c>
      <c r="F44" s="1" t="s">
        <v>235</v>
      </c>
      <c r="G44" s="1" t="s">
        <v>38</v>
      </c>
      <c r="H44" s="1">
        <v>6</v>
      </c>
      <c r="I44" s="54">
        <v>4627.88</v>
      </c>
      <c r="J44" s="55">
        <v>0</v>
      </c>
      <c r="K44" s="54">
        <v>2970.56</v>
      </c>
      <c r="L44" s="54">
        <v>27767.28</v>
      </c>
      <c r="M44" s="54">
        <v>17823.36</v>
      </c>
      <c r="N44" s="54">
        <v>9943.92</v>
      </c>
      <c r="O44" s="1" t="s">
        <v>44</v>
      </c>
      <c r="P44" s="1" t="s">
        <v>699</v>
      </c>
      <c r="Q44" s="1">
        <f>IF(COUNTIF($C$4:C44,C44)=1,1,0)</f>
        <v>1</v>
      </c>
      <c r="R44" s="1">
        <f>IF(COUNTIFS($D$4:D44,D44,$C$4:C44,C44)=1,1,0)</f>
        <v>1</v>
      </c>
    </row>
    <row r="45" ht="15" customHeight="1" spans="1:18">
      <c r="A45" s="1" t="s">
        <v>125</v>
      </c>
      <c r="B45" s="53">
        <v>45767</v>
      </c>
      <c r="C45" s="1" t="s">
        <v>127</v>
      </c>
      <c r="D45" s="1" t="s">
        <v>48</v>
      </c>
      <c r="E45" s="1" t="s">
        <v>24</v>
      </c>
      <c r="F45" s="1" t="s">
        <v>116</v>
      </c>
      <c r="G45" s="1" t="s">
        <v>112</v>
      </c>
      <c r="H45" s="1">
        <v>7</v>
      </c>
      <c r="I45" s="54">
        <v>1445.73</v>
      </c>
      <c r="J45" s="55">
        <v>0</v>
      </c>
      <c r="K45" s="54">
        <v>815.41</v>
      </c>
      <c r="L45" s="54">
        <v>10120.11</v>
      </c>
      <c r="M45" s="54">
        <v>5707.87</v>
      </c>
      <c r="N45" s="54">
        <v>4412.24</v>
      </c>
      <c r="O45" s="1" t="s">
        <v>32</v>
      </c>
      <c r="P45" s="1" t="s">
        <v>699</v>
      </c>
      <c r="Q45" s="1">
        <f>IF(COUNTIF($C$4:C45,C45)=1,1,0)</f>
        <v>0</v>
      </c>
      <c r="R45" s="1">
        <f>IF(COUNTIFS($D$4:D45,D45,$C$4:C45,C45)=1,1,0)</f>
        <v>1</v>
      </c>
    </row>
    <row r="46" ht="15" customHeight="1" spans="1:18">
      <c r="A46" s="1" t="s">
        <v>417</v>
      </c>
      <c r="B46" s="53">
        <v>45767</v>
      </c>
      <c r="C46" s="1" t="s">
        <v>295</v>
      </c>
      <c r="D46" s="1" t="s">
        <v>41</v>
      </c>
      <c r="E46" s="1" t="s">
        <v>61</v>
      </c>
      <c r="F46" s="1" t="s">
        <v>111</v>
      </c>
      <c r="G46" s="1" t="s">
        <v>57</v>
      </c>
      <c r="H46" s="1">
        <v>11</v>
      </c>
      <c r="I46" s="54">
        <v>2629.27</v>
      </c>
      <c r="J46" s="55">
        <v>0.05</v>
      </c>
      <c r="K46" s="54">
        <v>1457.06</v>
      </c>
      <c r="L46" s="54">
        <v>27475.87</v>
      </c>
      <c r="M46" s="54">
        <v>16027.66</v>
      </c>
      <c r="N46" s="54">
        <v>11448.21</v>
      </c>
      <c r="O46" s="1" t="s">
        <v>19</v>
      </c>
      <c r="P46" s="1" t="s">
        <v>699</v>
      </c>
      <c r="Q46" s="1">
        <f>IF(COUNTIF($C$4:C46,C46)=1,1,0)</f>
        <v>1</v>
      </c>
      <c r="R46" s="1">
        <f>IF(COUNTIFS($D$4:D46,D46,$C$4:C46,C46)=1,1,0)</f>
        <v>1</v>
      </c>
    </row>
    <row r="47" ht="15" customHeight="1" spans="1:18">
      <c r="A47" s="1" t="s">
        <v>519</v>
      </c>
      <c r="B47" s="53">
        <v>45768</v>
      </c>
      <c r="C47" s="1" t="s">
        <v>462</v>
      </c>
      <c r="D47" s="1" t="s">
        <v>80</v>
      </c>
      <c r="E47" s="1" t="s">
        <v>42</v>
      </c>
      <c r="F47" s="1" t="s">
        <v>85</v>
      </c>
      <c r="G47" s="1" t="s">
        <v>18</v>
      </c>
      <c r="H47" s="1">
        <v>4</v>
      </c>
      <c r="I47" s="54">
        <v>3556.93</v>
      </c>
      <c r="J47" s="55">
        <v>0.2</v>
      </c>
      <c r="K47" s="54">
        <v>1734.43</v>
      </c>
      <c r="L47" s="54">
        <v>11382.18</v>
      </c>
      <c r="M47" s="54">
        <v>6937.72</v>
      </c>
      <c r="N47" s="54">
        <v>4444.46</v>
      </c>
      <c r="O47" s="1" t="s">
        <v>26</v>
      </c>
      <c r="P47" s="1" t="s">
        <v>699</v>
      </c>
      <c r="Q47" s="1">
        <f>IF(COUNTIF($C$4:C47,C47)=1,1,0)</f>
        <v>1</v>
      </c>
      <c r="R47" s="1">
        <f>IF(COUNTIFS($D$4:D47,D47,$C$4:C47,C47)=1,1,0)</f>
        <v>1</v>
      </c>
    </row>
    <row r="48" ht="15" customHeight="1" spans="1:18">
      <c r="A48" s="1" t="s">
        <v>511</v>
      </c>
      <c r="B48" s="53">
        <v>45771</v>
      </c>
      <c r="C48" s="1" t="s">
        <v>345</v>
      </c>
      <c r="D48" s="1" t="s">
        <v>54</v>
      </c>
      <c r="E48" s="1" t="s">
        <v>55</v>
      </c>
      <c r="F48" s="1" t="s">
        <v>66</v>
      </c>
      <c r="G48" s="1" t="s">
        <v>90</v>
      </c>
      <c r="H48" s="1">
        <v>3</v>
      </c>
      <c r="I48" s="54">
        <v>3056.06</v>
      </c>
      <c r="J48" s="55">
        <v>0.2</v>
      </c>
      <c r="K48" s="54">
        <v>1923.2</v>
      </c>
      <c r="L48" s="54">
        <v>7334.54</v>
      </c>
      <c r="M48" s="54">
        <v>5769.6</v>
      </c>
      <c r="N48" s="54">
        <v>1564.94</v>
      </c>
      <c r="O48" s="1" t="s">
        <v>44</v>
      </c>
      <c r="P48" s="1" t="s">
        <v>699</v>
      </c>
      <c r="Q48" s="1">
        <f>IF(COUNTIF($C$4:C48,C48)=1,1,0)</f>
        <v>1</v>
      </c>
      <c r="R48" s="1">
        <f>IF(COUNTIFS($D$4:D48,D48,$C$4:C48,C48)=1,1,0)</f>
        <v>1</v>
      </c>
    </row>
    <row r="49" ht="15" customHeight="1" spans="1:18">
      <c r="A49" s="1" t="s">
        <v>378</v>
      </c>
      <c r="B49" s="53">
        <v>45773</v>
      </c>
      <c r="C49" s="1" t="s">
        <v>380</v>
      </c>
      <c r="D49" s="1" t="s">
        <v>41</v>
      </c>
      <c r="E49" s="1" t="s">
        <v>42</v>
      </c>
      <c r="F49" s="1" t="s">
        <v>158</v>
      </c>
      <c r="G49" s="1" t="s">
        <v>112</v>
      </c>
      <c r="H49" s="1">
        <v>6</v>
      </c>
      <c r="I49" s="54">
        <v>1028.07</v>
      </c>
      <c r="J49" s="55">
        <v>0.15</v>
      </c>
      <c r="K49" s="54">
        <v>459.67</v>
      </c>
      <c r="L49" s="54">
        <v>5243.16</v>
      </c>
      <c r="M49" s="54">
        <v>2758.02</v>
      </c>
      <c r="N49" s="54">
        <v>2485.14</v>
      </c>
      <c r="O49" s="1" t="s">
        <v>136</v>
      </c>
      <c r="P49" s="1" t="s">
        <v>699</v>
      </c>
      <c r="Q49" s="1">
        <f>IF(COUNTIF($C$4:C49,C49)=1,1,0)</f>
        <v>1</v>
      </c>
      <c r="R49" s="1">
        <f>IF(COUNTIFS($D$4:D49,D49,$C$4:C49,C49)=1,1,0)</f>
        <v>1</v>
      </c>
    </row>
    <row r="50" ht="15" customHeight="1" spans="1:18">
      <c r="A50" s="1" t="s">
        <v>536</v>
      </c>
      <c r="B50" s="53">
        <v>45773</v>
      </c>
      <c r="C50" s="1" t="s">
        <v>537</v>
      </c>
      <c r="D50" s="1" t="s">
        <v>48</v>
      </c>
      <c r="E50" s="1" t="s">
        <v>61</v>
      </c>
      <c r="F50" s="1" t="s">
        <v>120</v>
      </c>
      <c r="G50" s="1" t="s">
        <v>90</v>
      </c>
      <c r="H50" s="1">
        <v>12</v>
      </c>
      <c r="I50" s="54">
        <v>3227.37</v>
      </c>
      <c r="J50" s="55">
        <v>0.05</v>
      </c>
      <c r="K50" s="54">
        <v>1712.57</v>
      </c>
      <c r="L50" s="54">
        <v>36792.02</v>
      </c>
      <c r="M50" s="54">
        <v>20550.84</v>
      </c>
      <c r="N50" s="54">
        <v>16241.18</v>
      </c>
      <c r="O50" s="1" t="s">
        <v>32</v>
      </c>
      <c r="P50" s="1" t="s">
        <v>699</v>
      </c>
      <c r="Q50" s="1">
        <f>IF(COUNTIF($C$4:C50,C50)=1,1,0)</f>
        <v>1</v>
      </c>
      <c r="R50" s="1">
        <f>IF(COUNTIFS($D$4:D50,D50,$C$4:C50,C50)=1,1,0)</f>
        <v>1</v>
      </c>
    </row>
    <row r="51" ht="15" customHeight="1" spans="1:18">
      <c r="A51" s="1" t="s">
        <v>434</v>
      </c>
      <c r="B51" s="53">
        <v>45774</v>
      </c>
      <c r="C51" s="1" t="s">
        <v>436</v>
      </c>
      <c r="D51" s="1" t="s">
        <v>30</v>
      </c>
      <c r="E51" s="1" t="s">
        <v>61</v>
      </c>
      <c r="F51" s="1" t="s">
        <v>94</v>
      </c>
      <c r="G51" s="1" t="s">
        <v>90</v>
      </c>
      <c r="H51" s="1">
        <v>9</v>
      </c>
      <c r="I51" s="54">
        <v>1177.71</v>
      </c>
      <c r="J51" s="55">
        <v>0.05</v>
      </c>
      <c r="K51" s="54">
        <v>567.06</v>
      </c>
      <c r="L51" s="54">
        <v>10069.42</v>
      </c>
      <c r="M51" s="54">
        <v>5103.54</v>
      </c>
      <c r="N51" s="54">
        <v>4965.88</v>
      </c>
      <c r="O51" s="1" t="s">
        <v>26</v>
      </c>
      <c r="P51" s="1" t="s">
        <v>699</v>
      </c>
      <c r="Q51" s="1">
        <f>IF(COUNTIF($C$4:C51,C51)=1,1,0)</f>
        <v>0</v>
      </c>
      <c r="R51" s="1">
        <f>IF(COUNTIFS($D$4:D51,D51,$C$4:C51,C51)=1,1,0)</f>
        <v>1</v>
      </c>
    </row>
    <row r="52" ht="15" customHeight="1" spans="1:18">
      <c r="A52" s="1" t="s">
        <v>147</v>
      </c>
      <c r="B52" s="53">
        <v>45775</v>
      </c>
      <c r="C52" s="1" t="s">
        <v>149</v>
      </c>
      <c r="D52" s="1" t="s">
        <v>80</v>
      </c>
      <c r="E52" s="1" t="s">
        <v>55</v>
      </c>
      <c r="F52" s="1" t="s">
        <v>141</v>
      </c>
      <c r="G52" s="1" t="s">
        <v>31</v>
      </c>
      <c r="H52" s="1">
        <v>3</v>
      </c>
      <c r="I52" s="54">
        <v>3146.7</v>
      </c>
      <c r="J52" s="55">
        <v>0.15</v>
      </c>
      <c r="K52" s="54">
        <v>2016.83</v>
      </c>
      <c r="L52" s="54">
        <v>8024.08</v>
      </c>
      <c r="M52" s="54">
        <v>6050.49</v>
      </c>
      <c r="N52" s="54">
        <v>1973.59</v>
      </c>
      <c r="O52" s="1" t="s">
        <v>19</v>
      </c>
      <c r="P52" s="1" t="s">
        <v>699</v>
      </c>
      <c r="Q52" s="1">
        <f>IF(COUNTIF($C$4:C52,C52)=1,1,0)</f>
        <v>1</v>
      </c>
      <c r="R52" s="1">
        <f>IF(COUNTIFS($D$4:D52,D52,$C$4:C52,C52)=1,1,0)</f>
        <v>1</v>
      </c>
    </row>
    <row r="53" ht="15" customHeight="1" spans="1:18">
      <c r="A53" s="1" t="s">
        <v>260</v>
      </c>
      <c r="B53" s="53">
        <v>45775</v>
      </c>
      <c r="C53" s="1" t="s">
        <v>261</v>
      </c>
      <c r="D53" s="1" t="s">
        <v>30</v>
      </c>
      <c r="E53" s="1" t="s">
        <v>16</v>
      </c>
      <c r="F53" s="1" t="s">
        <v>102</v>
      </c>
      <c r="G53" s="1" t="s">
        <v>112</v>
      </c>
      <c r="H53" s="1">
        <v>10</v>
      </c>
      <c r="I53" s="54">
        <v>2199.79</v>
      </c>
      <c r="J53" s="55">
        <v>0</v>
      </c>
      <c r="K53" s="54">
        <v>1231.96</v>
      </c>
      <c r="L53" s="54">
        <v>21997.9</v>
      </c>
      <c r="M53" s="54">
        <v>12319.6</v>
      </c>
      <c r="N53" s="54">
        <v>9678.3</v>
      </c>
      <c r="O53" s="1" t="s">
        <v>44</v>
      </c>
      <c r="P53" s="1" t="s">
        <v>699</v>
      </c>
      <c r="Q53" s="1">
        <f>IF(COUNTIF($C$4:C53,C53)=1,1,0)</f>
        <v>1</v>
      </c>
      <c r="R53" s="1">
        <f>IF(COUNTIFS($D$4:D53,D53,$C$4:C53,C53)=1,1,0)</f>
        <v>1</v>
      </c>
    </row>
    <row r="54" ht="15" customHeight="1" spans="1:18">
      <c r="A54" s="1" t="s">
        <v>224</v>
      </c>
      <c r="B54" s="53">
        <v>45776</v>
      </c>
      <c r="C54" s="1" t="s">
        <v>225</v>
      </c>
      <c r="D54" s="1" t="s">
        <v>48</v>
      </c>
      <c r="E54" s="1" t="s">
        <v>42</v>
      </c>
      <c r="F54" s="1" t="s">
        <v>146</v>
      </c>
      <c r="G54" s="1" t="s">
        <v>90</v>
      </c>
      <c r="H54" s="1">
        <v>3</v>
      </c>
      <c r="I54" s="54">
        <v>512.13</v>
      </c>
      <c r="J54" s="55">
        <v>0.05</v>
      </c>
      <c r="K54" s="54">
        <v>209.62</v>
      </c>
      <c r="L54" s="54">
        <v>1459.57</v>
      </c>
      <c r="M54" s="54">
        <v>628.86</v>
      </c>
      <c r="N54" s="54">
        <v>830.71</v>
      </c>
      <c r="O54" s="1" t="s">
        <v>50</v>
      </c>
      <c r="P54" s="1" t="s">
        <v>699</v>
      </c>
      <c r="Q54" s="1">
        <f>IF(COUNTIF($C$4:C54,C54)=1,1,0)</f>
        <v>1</v>
      </c>
      <c r="R54" s="1">
        <f>IF(COUNTIFS($D$4:D54,D54,$C$4:C54,C54)=1,1,0)</f>
        <v>1</v>
      </c>
    </row>
    <row r="55" ht="15" customHeight="1" spans="1:18">
      <c r="A55" s="1" t="s">
        <v>107</v>
      </c>
      <c r="B55" s="53">
        <v>45776</v>
      </c>
      <c r="C55" s="1" t="s">
        <v>109</v>
      </c>
      <c r="D55" s="1" t="s">
        <v>30</v>
      </c>
      <c r="E55" s="1" t="s">
        <v>61</v>
      </c>
      <c r="F55" s="1" t="s">
        <v>111</v>
      </c>
      <c r="G55" s="1" t="s">
        <v>112</v>
      </c>
      <c r="H55" s="1">
        <v>11</v>
      </c>
      <c r="I55" s="54">
        <v>4910.4</v>
      </c>
      <c r="J55" s="55">
        <v>0</v>
      </c>
      <c r="K55" s="54">
        <v>2622.42</v>
      </c>
      <c r="L55" s="54">
        <v>54014.4</v>
      </c>
      <c r="M55" s="54">
        <v>28846.62</v>
      </c>
      <c r="N55" s="54">
        <v>25167.78</v>
      </c>
      <c r="O55" s="1" t="s">
        <v>50</v>
      </c>
      <c r="P55" s="1" t="s">
        <v>699</v>
      </c>
      <c r="Q55" s="1">
        <f>IF(COUNTIF($C$4:C55,C55)=1,1,0)</f>
        <v>1</v>
      </c>
      <c r="R55" s="1">
        <f>IF(COUNTIFS($D$4:D55,D55,$C$4:C55,C55)=1,1,0)</f>
        <v>1</v>
      </c>
    </row>
    <row r="56" ht="15" customHeight="1" spans="1:18">
      <c r="A56" s="1" t="s">
        <v>437</v>
      </c>
      <c r="B56" s="53">
        <v>45777</v>
      </c>
      <c r="C56" s="1" t="s">
        <v>439</v>
      </c>
      <c r="D56" s="1" t="s">
        <v>30</v>
      </c>
      <c r="E56" s="1" t="s">
        <v>61</v>
      </c>
      <c r="F56" s="1" t="s">
        <v>120</v>
      </c>
      <c r="G56" s="1" t="s">
        <v>90</v>
      </c>
      <c r="H56" s="1">
        <v>11</v>
      </c>
      <c r="I56" s="54">
        <v>928.55</v>
      </c>
      <c r="J56" s="55">
        <v>0</v>
      </c>
      <c r="K56" s="54">
        <v>398.78</v>
      </c>
      <c r="L56" s="54">
        <v>10214.05</v>
      </c>
      <c r="M56" s="54">
        <v>4386.58</v>
      </c>
      <c r="N56" s="54">
        <v>5827.47</v>
      </c>
      <c r="O56" s="1" t="s">
        <v>136</v>
      </c>
      <c r="P56" s="1" t="s">
        <v>699</v>
      </c>
      <c r="Q56" s="1">
        <f>IF(COUNTIF($C$4:C56,C56)=1,1,0)</f>
        <v>1</v>
      </c>
      <c r="R56" s="1">
        <f>IF(COUNTIFS($D$4:D56,D56,$C$4:C56,C56)=1,1,0)</f>
        <v>1</v>
      </c>
    </row>
    <row r="57" ht="15" customHeight="1" spans="1:18">
      <c r="A57" s="1" t="s">
        <v>660</v>
      </c>
      <c r="B57" s="53">
        <v>45779</v>
      </c>
      <c r="C57" s="1" t="s">
        <v>470</v>
      </c>
      <c r="D57" s="1" t="s">
        <v>80</v>
      </c>
      <c r="E57" s="1" t="s">
        <v>61</v>
      </c>
      <c r="F57" s="1" t="s">
        <v>120</v>
      </c>
      <c r="G57" s="1" t="s">
        <v>57</v>
      </c>
      <c r="H57" s="1">
        <v>7</v>
      </c>
      <c r="I57" s="54">
        <v>3757.18</v>
      </c>
      <c r="J57" s="55">
        <v>0.15</v>
      </c>
      <c r="K57" s="54">
        <v>2305.97</v>
      </c>
      <c r="L57" s="54">
        <v>22355.22</v>
      </c>
      <c r="M57" s="54">
        <v>16141.79</v>
      </c>
      <c r="N57" s="54">
        <v>6213.43</v>
      </c>
      <c r="O57" s="1" t="s">
        <v>136</v>
      </c>
      <c r="P57" s="1" t="s">
        <v>700</v>
      </c>
      <c r="Q57" s="1">
        <f>IF(COUNTIF($C$4:C57,C57)=1,1,0)</f>
        <v>0</v>
      </c>
      <c r="R57" s="1">
        <f>IF(COUNTIFS($D$4:D57,D57,$C$4:C57,C57)=1,1,0)</f>
        <v>1</v>
      </c>
    </row>
    <row r="58" ht="15" customHeight="1" spans="1:18">
      <c r="A58" s="1" t="s">
        <v>63</v>
      </c>
      <c r="B58" s="53">
        <v>45781</v>
      </c>
      <c r="C58" s="1" t="s">
        <v>65</v>
      </c>
      <c r="D58" s="1" t="s">
        <v>48</v>
      </c>
      <c r="E58" s="1" t="s">
        <v>55</v>
      </c>
      <c r="F58" s="1" t="s">
        <v>66</v>
      </c>
      <c r="G58" s="1" t="s">
        <v>57</v>
      </c>
      <c r="H58" s="1">
        <v>11</v>
      </c>
      <c r="I58" s="54">
        <v>2054.08</v>
      </c>
      <c r="J58" s="55">
        <v>0.05</v>
      </c>
      <c r="K58" s="54">
        <v>1283.6</v>
      </c>
      <c r="L58" s="54">
        <v>21465.14</v>
      </c>
      <c r="M58" s="54">
        <v>14119.6</v>
      </c>
      <c r="N58" s="54">
        <v>7345.54</v>
      </c>
      <c r="O58" s="1" t="s">
        <v>19</v>
      </c>
      <c r="P58" s="1" t="s">
        <v>700</v>
      </c>
      <c r="Q58" s="1">
        <f>IF(COUNTIF($C$4:C58,C58)=1,1,0)</f>
        <v>1</v>
      </c>
      <c r="R58" s="1">
        <f>IF(COUNTIFS($D$4:D58,D58,$C$4:C58,C58)=1,1,0)</f>
        <v>1</v>
      </c>
    </row>
    <row r="59" ht="15" customHeight="1" spans="1:18">
      <c r="A59" s="1" t="s">
        <v>589</v>
      </c>
      <c r="B59" s="53">
        <v>45784</v>
      </c>
      <c r="C59" s="1" t="s">
        <v>591</v>
      </c>
      <c r="D59" s="1" t="s">
        <v>54</v>
      </c>
      <c r="E59" s="1" t="s">
        <v>55</v>
      </c>
      <c r="F59" s="1" t="s">
        <v>66</v>
      </c>
      <c r="G59" s="1" t="s">
        <v>112</v>
      </c>
      <c r="H59" s="1">
        <v>1</v>
      </c>
      <c r="I59" s="54">
        <v>4654.14</v>
      </c>
      <c r="J59" s="55">
        <v>0.1</v>
      </c>
      <c r="K59" s="54">
        <v>2836.08</v>
      </c>
      <c r="L59" s="54">
        <v>4188.73</v>
      </c>
      <c r="M59" s="54">
        <v>2836.08</v>
      </c>
      <c r="N59" s="54">
        <v>1352.65</v>
      </c>
      <c r="O59" s="1" t="s">
        <v>136</v>
      </c>
      <c r="P59" s="1" t="s">
        <v>700</v>
      </c>
      <c r="Q59" s="1">
        <f>IF(COUNTIF($C$4:C59,C59)=1,1,0)</f>
        <v>1</v>
      </c>
      <c r="R59" s="1">
        <f>IF(COUNTIFS($D$4:D59,D59,$C$4:C59,C59)=1,1,0)</f>
        <v>1</v>
      </c>
    </row>
    <row r="60" ht="15" customHeight="1" spans="1:18">
      <c r="A60" s="1" t="s">
        <v>200</v>
      </c>
      <c r="B60" s="53">
        <v>45787</v>
      </c>
      <c r="C60" s="1" t="s">
        <v>202</v>
      </c>
      <c r="D60" s="1" t="s">
        <v>48</v>
      </c>
      <c r="E60" s="1" t="s">
        <v>42</v>
      </c>
      <c r="F60" s="1" t="s">
        <v>43</v>
      </c>
      <c r="G60" s="1" t="s">
        <v>57</v>
      </c>
      <c r="H60" s="1">
        <v>11</v>
      </c>
      <c r="I60" s="54">
        <v>4908.85</v>
      </c>
      <c r="J60" s="55">
        <v>0</v>
      </c>
      <c r="K60" s="54">
        <v>2571.41</v>
      </c>
      <c r="L60" s="54">
        <v>53997.35</v>
      </c>
      <c r="M60" s="54">
        <v>28285.51</v>
      </c>
      <c r="N60" s="54">
        <v>25711.84</v>
      </c>
      <c r="O60" s="1" t="s">
        <v>44</v>
      </c>
      <c r="P60" s="1" t="s">
        <v>700</v>
      </c>
      <c r="Q60" s="1">
        <f>IF(COUNTIF($C$4:C60,C60)=1,1,0)</f>
        <v>1</v>
      </c>
      <c r="R60" s="1">
        <f>IF(COUNTIFS($D$4:D60,D60,$C$4:C60,C60)=1,1,0)</f>
        <v>1</v>
      </c>
    </row>
    <row r="61" ht="15" customHeight="1" spans="1:18">
      <c r="A61" s="1" t="s">
        <v>450</v>
      </c>
      <c r="B61" s="53">
        <v>45793</v>
      </c>
      <c r="C61" s="1" t="s">
        <v>452</v>
      </c>
      <c r="D61" s="1" t="s">
        <v>48</v>
      </c>
      <c r="E61" s="1" t="s">
        <v>16</v>
      </c>
      <c r="F61" s="1" t="s">
        <v>174</v>
      </c>
      <c r="G61" s="1" t="s">
        <v>90</v>
      </c>
      <c r="H61" s="1">
        <v>5</v>
      </c>
      <c r="I61" s="54">
        <v>4374.12</v>
      </c>
      <c r="J61" s="55">
        <v>0.2</v>
      </c>
      <c r="K61" s="54">
        <v>1888.4</v>
      </c>
      <c r="L61" s="54">
        <v>17496.48</v>
      </c>
      <c r="M61" s="54">
        <v>9442</v>
      </c>
      <c r="N61" s="54">
        <v>8054.48</v>
      </c>
      <c r="O61" s="1" t="s">
        <v>136</v>
      </c>
      <c r="P61" s="1" t="s">
        <v>700</v>
      </c>
      <c r="Q61" s="1">
        <f>IF(COUNTIF($C$4:C61,C61)=1,1,0)</f>
        <v>0</v>
      </c>
      <c r="R61" s="1">
        <f>IF(COUNTIFS($D$4:D61,D61,$C$4:C61,C61)=1,1,0)</f>
        <v>1</v>
      </c>
    </row>
    <row r="62" ht="15" customHeight="1" spans="1:18">
      <c r="A62" s="1" t="s">
        <v>491</v>
      </c>
      <c r="B62" s="53">
        <v>45797</v>
      </c>
      <c r="C62" s="1" t="s">
        <v>323</v>
      </c>
      <c r="D62" s="1" t="s">
        <v>80</v>
      </c>
      <c r="E62" s="1" t="s">
        <v>61</v>
      </c>
      <c r="F62" s="1" t="s">
        <v>106</v>
      </c>
      <c r="G62" s="1" t="s">
        <v>31</v>
      </c>
      <c r="H62" s="1">
        <v>8</v>
      </c>
      <c r="I62" s="54">
        <v>1577.19</v>
      </c>
      <c r="J62" s="55">
        <v>0</v>
      </c>
      <c r="K62" s="54">
        <v>660.33</v>
      </c>
      <c r="L62" s="54">
        <v>12617.52</v>
      </c>
      <c r="M62" s="54">
        <v>5282.64</v>
      </c>
      <c r="N62" s="54">
        <v>7334.88</v>
      </c>
      <c r="O62" s="1" t="s">
        <v>32</v>
      </c>
      <c r="P62" s="1" t="s">
        <v>700</v>
      </c>
      <c r="Q62" s="1">
        <f>IF(COUNTIF($C$4:C62,C62)=1,1,0)</f>
        <v>1</v>
      </c>
      <c r="R62" s="1">
        <f>IF(COUNTIFS($D$4:D62,D62,$C$4:C62,C62)=1,1,0)</f>
        <v>1</v>
      </c>
    </row>
    <row r="63" ht="15" customHeight="1" spans="1:18">
      <c r="A63" s="1" t="s">
        <v>215</v>
      </c>
      <c r="B63" s="53">
        <v>45798</v>
      </c>
      <c r="C63" s="1" t="s">
        <v>217</v>
      </c>
      <c r="D63" s="1" t="s">
        <v>80</v>
      </c>
      <c r="E63" s="1" t="s">
        <v>55</v>
      </c>
      <c r="F63" s="1" t="s">
        <v>56</v>
      </c>
      <c r="G63" s="1" t="s">
        <v>18</v>
      </c>
      <c r="H63" s="1">
        <v>11</v>
      </c>
      <c r="I63" s="54">
        <v>1192.62</v>
      </c>
      <c r="J63" s="55">
        <v>0.2</v>
      </c>
      <c r="K63" s="54">
        <v>551.77</v>
      </c>
      <c r="L63" s="54">
        <v>10495.06</v>
      </c>
      <c r="M63" s="54">
        <v>6069.47</v>
      </c>
      <c r="N63" s="54">
        <v>4425.59</v>
      </c>
      <c r="O63" s="1" t="s">
        <v>136</v>
      </c>
      <c r="P63" s="1" t="s">
        <v>700</v>
      </c>
      <c r="Q63" s="1">
        <f>IF(COUNTIF($C$4:C63,C63)=1,1,0)</f>
        <v>1</v>
      </c>
      <c r="R63" s="1">
        <f>IF(COUNTIFS($D$4:D63,D63,$C$4:C63,C63)=1,1,0)</f>
        <v>1</v>
      </c>
    </row>
    <row r="64" ht="15" customHeight="1" spans="1:18">
      <c r="A64" s="1" t="s">
        <v>356</v>
      </c>
      <c r="B64" s="53">
        <v>45798</v>
      </c>
      <c r="C64" s="1" t="s">
        <v>357</v>
      </c>
      <c r="D64" s="1" t="s">
        <v>41</v>
      </c>
      <c r="E64" s="1" t="s">
        <v>24</v>
      </c>
      <c r="F64" s="1" t="s">
        <v>116</v>
      </c>
      <c r="G64" s="1" t="s">
        <v>90</v>
      </c>
      <c r="H64" s="1">
        <v>2</v>
      </c>
      <c r="I64" s="54">
        <v>2241.52</v>
      </c>
      <c r="J64" s="55">
        <v>0</v>
      </c>
      <c r="K64" s="54">
        <v>1298.6</v>
      </c>
      <c r="L64" s="54">
        <v>4483.04</v>
      </c>
      <c r="M64" s="54">
        <v>2597.2</v>
      </c>
      <c r="N64" s="54">
        <v>1885.84</v>
      </c>
      <c r="O64" s="1" t="s">
        <v>32</v>
      </c>
      <c r="P64" s="1" t="s">
        <v>700</v>
      </c>
      <c r="Q64" s="1">
        <f>IF(COUNTIF($C$4:C64,C64)=1,1,0)</f>
        <v>1</v>
      </c>
      <c r="R64" s="1">
        <f>IF(COUNTIFS($D$4:D64,D64,$C$4:C64,C64)=1,1,0)</f>
        <v>1</v>
      </c>
    </row>
    <row r="65" ht="15" customHeight="1" spans="1:18">
      <c r="A65" s="1" t="s">
        <v>465</v>
      </c>
      <c r="B65" s="53">
        <v>45801</v>
      </c>
      <c r="C65" s="1" t="s">
        <v>467</v>
      </c>
      <c r="D65" s="1" t="s">
        <v>54</v>
      </c>
      <c r="E65" s="1" t="s">
        <v>16</v>
      </c>
      <c r="F65" s="1" t="s">
        <v>174</v>
      </c>
      <c r="G65" s="1" t="s">
        <v>38</v>
      </c>
      <c r="H65" s="1">
        <v>12</v>
      </c>
      <c r="I65" s="54">
        <v>2103.95</v>
      </c>
      <c r="J65" s="55">
        <v>0</v>
      </c>
      <c r="K65" s="54">
        <v>1348.24</v>
      </c>
      <c r="L65" s="54">
        <v>25247.4</v>
      </c>
      <c r="M65" s="54">
        <v>16178.88</v>
      </c>
      <c r="N65" s="54">
        <v>9068.52</v>
      </c>
      <c r="O65" s="1" t="s">
        <v>136</v>
      </c>
      <c r="P65" s="1" t="s">
        <v>700</v>
      </c>
      <c r="Q65" s="1">
        <f>IF(COUNTIF($C$4:C65,C65)=1,1,0)</f>
        <v>1</v>
      </c>
      <c r="R65" s="1">
        <f>IF(COUNTIFS($D$4:D65,D65,$C$4:C65,C65)=1,1,0)</f>
        <v>1</v>
      </c>
    </row>
    <row r="66" ht="15" customHeight="1" spans="1:18">
      <c r="A66" s="1" t="s">
        <v>178</v>
      </c>
      <c r="B66" s="53">
        <v>45803</v>
      </c>
      <c r="C66" s="1" t="s">
        <v>180</v>
      </c>
      <c r="D66" s="1" t="s">
        <v>48</v>
      </c>
      <c r="E66" s="1" t="s">
        <v>24</v>
      </c>
      <c r="F66" s="1" t="s">
        <v>116</v>
      </c>
      <c r="G66" s="1" t="s">
        <v>90</v>
      </c>
      <c r="H66" s="1">
        <v>9</v>
      </c>
      <c r="I66" s="54">
        <v>1355.6</v>
      </c>
      <c r="J66" s="55">
        <v>0</v>
      </c>
      <c r="K66" s="54">
        <v>592.73</v>
      </c>
      <c r="L66" s="54">
        <v>12200.4</v>
      </c>
      <c r="M66" s="54">
        <v>5334.57</v>
      </c>
      <c r="N66" s="54">
        <v>6865.83</v>
      </c>
      <c r="O66" s="1" t="s">
        <v>32</v>
      </c>
      <c r="P66" s="1" t="s">
        <v>700</v>
      </c>
      <c r="Q66" s="1">
        <f>IF(COUNTIF($C$4:C66,C66)=1,1,0)</f>
        <v>1</v>
      </c>
      <c r="R66" s="1">
        <f>IF(COUNTIFS($D$4:D66,D66,$C$4:C66,C66)=1,1,0)</f>
        <v>1</v>
      </c>
    </row>
    <row r="67" ht="15" customHeight="1" spans="1:18">
      <c r="A67" s="1" t="s">
        <v>636</v>
      </c>
      <c r="B67" s="53">
        <v>45807</v>
      </c>
      <c r="C67" s="1" t="s">
        <v>695</v>
      </c>
      <c r="D67" s="1" t="s">
        <v>30</v>
      </c>
      <c r="E67" s="1" t="s">
        <v>24</v>
      </c>
      <c r="F67" s="1" t="s">
        <v>116</v>
      </c>
      <c r="G67" s="1" t="s">
        <v>18</v>
      </c>
      <c r="H67" s="1">
        <v>8</v>
      </c>
      <c r="I67" s="54">
        <v>1047.35</v>
      </c>
      <c r="J67" s="55">
        <v>0.1</v>
      </c>
      <c r="K67" s="54">
        <v>567.23</v>
      </c>
      <c r="L67" s="54">
        <v>7540.92</v>
      </c>
      <c r="M67" s="54">
        <v>4537.84</v>
      </c>
      <c r="N67" s="54">
        <v>3003.08</v>
      </c>
      <c r="O67" s="1" t="s">
        <v>19</v>
      </c>
      <c r="P67" s="1" t="s">
        <v>700</v>
      </c>
      <c r="Q67" s="1">
        <f>IF(COUNTIF($C$4:C67,C67)=1,1,0)</f>
        <v>0</v>
      </c>
      <c r="R67" s="1">
        <f>IF(COUNTIFS($D$4:D67,D67,$C$4:C67,C67)=1,1,0)</f>
        <v>1</v>
      </c>
    </row>
    <row r="68" ht="15" customHeight="1" spans="1:18">
      <c r="A68" s="1" t="s">
        <v>132</v>
      </c>
      <c r="B68" s="53">
        <v>45814</v>
      </c>
      <c r="C68" s="1" t="s">
        <v>133</v>
      </c>
      <c r="D68" s="1" t="s">
        <v>80</v>
      </c>
      <c r="E68" s="1" t="s">
        <v>55</v>
      </c>
      <c r="F68" s="1" t="s">
        <v>66</v>
      </c>
      <c r="G68" s="1" t="s">
        <v>31</v>
      </c>
      <c r="H68" s="1">
        <v>9</v>
      </c>
      <c r="I68" s="54">
        <v>677.71</v>
      </c>
      <c r="J68" s="55">
        <v>0.05</v>
      </c>
      <c r="K68" s="54">
        <v>296.64</v>
      </c>
      <c r="L68" s="54">
        <v>5794.42</v>
      </c>
      <c r="M68" s="54">
        <v>2669.76</v>
      </c>
      <c r="N68" s="54">
        <v>3124.66</v>
      </c>
      <c r="O68" s="1" t="s">
        <v>26</v>
      </c>
      <c r="P68" s="1" t="s">
        <v>701</v>
      </c>
      <c r="Q68" s="1">
        <f>IF(COUNTIF($C$4:C68,C68)=1,1,0)</f>
        <v>1</v>
      </c>
      <c r="R68" s="1">
        <f>IF(COUNTIFS($D$4:D68,D68,$C$4:C68,C68)=1,1,0)</f>
        <v>1</v>
      </c>
    </row>
    <row r="69" ht="15" customHeight="1" spans="1:18">
      <c r="A69" s="1" t="s">
        <v>51</v>
      </c>
      <c r="B69" s="53">
        <v>45814</v>
      </c>
      <c r="C69" s="1" t="s">
        <v>702</v>
      </c>
      <c r="D69" s="1" t="s">
        <v>54</v>
      </c>
      <c r="E69" s="1" t="s">
        <v>55</v>
      </c>
      <c r="F69" s="1" t="s">
        <v>56</v>
      </c>
      <c r="G69" s="1" t="s">
        <v>57</v>
      </c>
      <c r="H69" s="1">
        <v>5</v>
      </c>
      <c r="I69" s="54">
        <v>4254.85</v>
      </c>
      <c r="J69" s="55">
        <v>0</v>
      </c>
      <c r="K69" s="54">
        <v>2241.95</v>
      </c>
      <c r="L69" s="54">
        <v>21274.25</v>
      </c>
      <c r="M69" s="54">
        <v>11209.75</v>
      </c>
      <c r="N69" s="54">
        <v>10064.5</v>
      </c>
      <c r="O69" s="1" t="s">
        <v>32</v>
      </c>
      <c r="P69" s="1" t="s">
        <v>701</v>
      </c>
      <c r="Q69" s="1">
        <f>IF(COUNTIF($C$4:C69,C69)=1,1,0)</f>
        <v>1</v>
      </c>
      <c r="R69" s="1">
        <f>IF(COUNTIFS($D$4:D69,D69,$C$4:C69,C69)=1,1,0)</f>
        <v>1</v>
      </c>
    </row>
    <row r="70" ht="15" customHeight="1" spans="1:18">
      <c r="A70" s="1" t="s">
        <v>567</v>
      </c>
      <c r="B70" s="53">
        <v>45814</v>
      </c>
      <c r="C70" s="1" t="s">
        <v>353</v>
      </c>
      <c r="D70" s="1" t="s">
        <v>54</v>
      </c>
      <c r="E70" s="1" t="s">
        <v>16</v>
      </c>
      <c r="F70" s="1" t="s">
        <v>17</v>
      </c>
      <c r="G70" s="1" t="s">
        <v>112</v>
      </c>
      <c r="H70" s="1">
        <v>8</v>
      </c>
      <c r="I70" s="54">
        <v>2086.19</v>
      </c>
      <c r="J70" s="55">
        <v>0.05</v>
      </c>
      <c r="K70" s="54">
        <v>1119.91</v>
      </c>
      <c r="L70" s="54">
        <v>15855.04</v>
      </c>
      <c r="M70" s="54">
        <v>8959.28</v>
      </c>
      <c r="N70" s="54">
        <v>6895.76</v>
      </c>
      <c r="O70" s="1" t="s">
        <v>136</v>
      </c>
      <c r="P70" s="1" t="s">
        <v>701</v>
      </c>
      <c r="Q70" s="1">
        <f>IF(COUNTIF($C$4:C70,C70)=1,1,0)</f>
        <v>1</v>
      </c>
      <c r="R70" s="1">
        <f>IF(COUNTIFS($D$4:D70,D70,$C$4:C70,C70)=1,1,0)</f>
        <v>1</v>
      </c>
    </row>
    <row r="71" ht="15" customHeight="1" spans="1:18">
      <c r="A71" s="1" t="s">
        <v>190</v>
      </c>
      <c r="B71" s="53">
        <v>45820</v>
      </c>
      <c r="C71" s="1" t="s">
        <v>192</v>
      </c>
      <c r="D71" s="1" t="s">
        <v>48</v>
      </c>
      <c r="E71" s="1" t="s">
        <v>61</v>
      </c>
      <c r="F71" s="1" t="s">
        <v>106</v>
      </c>
      <c r="G71" s="1" t="s">
        <v>90</v>
      </c>
      <c r="H71" s="1">
        <v>1</v>
      </c>
      <c r="I71" s="54">
        <v>4872.79</v>
      </c>
      <c r="J71" s="55">
        <v>0</v>
      </c>
      <c r="K71" s="54">
        <v>2690.84</v>
      </c>
      <c r="L71" s="54">
        <v>4872.79</v>
      </c>
      <c r="M71" s="54">
        <v>2690.84</v>
      </c>
      <c r="N71" s="54">
        <v>2181.95</v>
      </c>
      <c r="O71" s="1" t="s">
        <v>19</v>
      </c>
      <c r="P71" s="1" t="s">
        <v>701</v>
      </c>
      <c r="Q71" s="1">
        <f>IF(COUNTIF($C$4:C71,C71)=1,1,0)</f>
        <v>1</v>
      </c>
      <c r="R71" s="1">
        <f>IF(COUNTIFS($D$4:D71,D71,$C$4:C71,C71)=1,1,0)</f>
        <v>1</v>
      </c>
    </row>
    <row r="72" ht="15" customHeight="1" spans="1:18">
      <c r="A72" s="1" t="s">
        <v>459</v>
      </c>
      <c r="B72" s="53">
        <v>45820</v>
      </c>
      <c r="C72" s="1" t="s">
        <v>695</v>
      </c>
      <c r="D72" s="1" t="s">
        <v>48</v>
      </c>
      <c r="E72" s="1" t="s">
        <v>42</v>
      </c>
      <c r="F72" s="1" t="s">
        <v>85</v>
      </c>
      <c r="G72" s="1" t="s">
        <v>18</v>
      </c>
      <c r="H72" s="1">
        <v>12</v>
      </c>
      <c r="I72" s="54">
        <v>4573.21</v>
      </c>
      <c r="J72" s="55">
        <v>0</v>
      </c>
      <c r="K72" s="54">
        <v>2837.85</v>
      </c>
      <c r="L72" s="54">
        <v>54878.52</v>
      </c>
      <c r="M72" s="54">
        <v>34054.2</v>
      </c>
      <c r="N72" s="54">
        <v>20824.32</v>
      </c>
      <c r="O72" s="1" t="s">
        <v>136</v>
      </c>
      <c r="P72" s="1" t="s">
        <v>701</v>
      </c>
      <c r="Q72" s="1">
        <f>IF(COUNTIF($C$4:C72,C72)=1,1,0)</f>
        <v>0</v>
      </c>
      <c r="R72" s="1">
        <f>IF(COUNTIFS($D$4:D72,D72,$C$4:C72,C72)=1,1,0)</f>
        <v>1</v>
      </c>
    </row>
    <row r="73" ht="15" customHeight="1" spans="1:18">
      <c r="A73" s="1" t="s">
        <v>575</v>
      </c>
      <c r="B73" s="53">
        <v>45821</v>
      </c>
      <c r="C73" s="1" t="s">
        <v>577</v>
      </c>
      <c r="D73" s="1" t="s">
        <v>41</v>
      </c>
      <c r="E73" s="1" t="s">
        <v>42</v>
      </c>
      <c r="F73" s="1" t="s">
        <v>43</v>
      </c>
      <c r="G73" s="1" t="s">
        <v>90</v>
      </c>
      <c r="H73" s="1">
        <v>3</v>
      </c>
      <c r="I73" s="54">
        <v>3571</v>
      </c>
      <c r="J73" s="55">
        <v>0.2</v>
      </c>
      <c r="K73" s="54">
        <v>1480.76</v>
      </c>
      <c r="L73" s="54">
        <v>8570.4</v>
      </c>
      <c r="M73" s="54">
        <v>4442.28</v>
      </c>
      <c r="N73" s="54">
        <v>4128.12</v>
      </c>
      <c r="O73" s="1" t="s">
        <v>50</v>
      </c>
      <c r="P73" s="1" t="s">
        <v>701</v>
      </c>
      <c r="Q73" s="1">
        <f>IF(COUNTIF($C$4:C73,C73)=1,1,0)</f>
        <v>1</v>
      </c>
      <c r="R73" s="1">
        <f>IF(COUNTIFS($D$4:D73,D73,$C$4:C73,C73)=1,1,0)</f>
        <v>1</v>
      </c>
    </row>
    <row r="74" ht="15" customHeight="1" spans="1:18">
      <c r="A74" s="1" t="s">
        <v>403</v>
      </c>
      <c r="B74" s="53">
        <v>45833</v>
      </c>
      <c r="C74" s="1" t="s">
        <v>186</v>
      </c>
      <c r="D74" s="1" t="s">
        <v>48</v>
      </c>
      <c r="E74" s="1" t="s">
        <v>16</v>
      </c>
      <c r="F74" s="1" t="s">
        <v>17</v>
      </c>
      <c r="G74" s="1" t="s">
        <v>112</v>
      </c>
      <c r="H74" s="1">
        <v>7</v>
      </c>
      <c r="I74" s="54">
        <v>2896.7</v>
      </c>
      <c r="J74" s="55">
        <v>0</v>
      </c>
      <c r="K74" s="54">
        <v>1199.32</v>
      </c>
      <c r="L74" s="54">
        <v>20276.9</v>
      </c>
      <c r="M74" s="54">
        <v>8395.24</v>
      </c>
      <c r="N74" s="54">
        <v>11881.66</v>
      </c>
      <c r="O74" s="1" t="s">
        <v>26</v>
      </c>
      <c r="P74" s="1" t="s">
        <v>701</v>
      </c>
      <c r="Q74" s="1">
        <f>IF(COUNTIF($C$4:C74,C74)=1,1,0)</f>
        <v>1</v>
      </c>
      <c r="R74" s="1">
        <f>IF(COUNTIFS($D$4:D74,D74,$C$4:C74,C74)=1,1,0)</f>
        <v>1</v>
      </c>
    </row>
    <row r="75" ht="15" customHeight="1" spans="1:18">
      <c r="A75" s="1" t="s">
        <v>117</v>
      </c>
      <c r="B75" s="53">
        <v>45836</v>
      </c>
      <c r="C75" s="1" t="s">
        <v>119</v>
      </c>
      <c r="D75" s="1" t="s">
        <v>41</v>
      </c>
      <c r="E75" s="1" t="s">
        <v>61</v>
      </c>
      <c r="F75" s="1" t="s">
        <v>120</v>
      </c>
      <c r="G75" s="1" t="s">
        <v>18</v>
      </c>
      <c r="H75" s="1">
        <v>7</v>
      </c>
      <c r="I75" s="54">
        <v>3424.17</v>
      </c>
      <c r="J75" s="55">
        <v>0.15</v>
      </c>
      <c r="K75" s="54">
        <v>1694.23</v>
      </c>
      <c r="L75" s="54">
        <v>20373.81</v>
      </c>
      <c r="M75" s="54">
        <v>11859.61</v>
      </c>
      <c r="N75" s="54">
        <v>8514.2</v>
      </c>
      <c r="O75" s="1" t="s">
        <v>44</v>
      </c>
      <c r="P75" s="1" t="s">
        <v>701</v>
      </c>
      <c r="Q75" s="1">
        <f>IF(COUNTIF($C$4:C75,C75)=1,1,0)</f>
        <v>1</v>
      </c>
      <c r="R75" s="1">
        <f>IF(COUNTIFS($D$4:D75,D75,$C$4:C75,C75)=1,1,0)</f>
        <v>1</v>
      </c>
    </row>
    <row r="76" ht="15" customHeight="1" spans="1:18">
      <c r="A76" s="1" t="s">
        <v>383</v>
      </c>
      <c r="B76" s="53">
        <v>45837</v>
      </c>
      <c r="C76" s="1" t="s">
        <v>385</v>
      </c>
      <c r="D76" s="1" t="s">
        <v>48</v>
      </c>
      <c r="E76" s="1" t="s">
        <v>24</v>
      </c>
      <c r="F76" s="1" t="s">
        <v>116</v>
      </c>
      <c r="G76" s="1" t="s">
        <v>31</v>
      </c>
      <c r="H76" s="1">
        <v>5</v>
      </c>
      <c r="I76" s="54">
        <v>585.5</v>
      </c>
      <c r="J76" s="55">
        <v>0.15</v>
      </c>
      <c r="K76" s="54">
        <v>373.04</v>
      </c>
      <c r="L76" s="54">
        <v>2488.38</v>
      </c>
      <c r="M76" s="54">
        <v>1865.2</v>
      </c>
      <c r="N76" s="54">
        <v>623.18</v>
      </c>
      <c r="O76" s="1" t="s">
        <v>26</v>
      </c>
      <c r="P76" s="1" t="s">
        <v>701</v>
      </c>
      <c r="Q76" s="1">
        <f>IF(COUNTIF($C$4:C76,C76)=1,1,0)</f>
        <v>1</v>
      </c>
      <c r="R76" s="1">
        <f>IF(COUNTIFS($D$4:D76,D76,$C$4:C76,C76)=1,1,0)</f>
        <v>1</v>
      </c>
    </row>
    <row r="77" ht="15" customHeight="1" spans="1:18">
      <c r="A77" s="1" t="s">
        <v>482</v>
      </c>
      <c r="B77" s="53">
        <v>45841</v>
      </c>
      <c r="C77" s="1" t="s">
        <v>388</v>
      </c>
      <c r="D77" s="1" t="s">
        <v>54</v>
      </c>
      <c r="E77" s="1" t="s">
        <v>24</v>
      </c>
      <c r="F77" s="1" t="s">
        <v>235</v>
      </c>
      <c r="G77" s="1" t="s">
        <v>90</v>
      </c>
      <c r="H77" s="1">
        <v>4</v>
      </c>
      <c r="I77" s="54">
        <v>515.11</v>
      </c>
      <c r="J77" s="55">
        <v>0</v>
      </c>
      <c r="K77" s="54">
        <v>252.92</v>
      </c>
      <c r="L77" s="54">
        <v>2060.44</v>
      </c>
      <c r="M77" s="54">
        <v>1011.68</v>
      </c>
      <c r="N77" s="54">
        <v>1048.76</v>
      </c>
      <c r="O77" s="1" t="s">
        <v>136</v>
      </c>
      <c r="P77" s="1" t="s">
        <v>703</v>
      </c>
      <c r="Q77" s="1">
        <f>IF(COUNTIF($C$4:C77,C77)=1,1,0)</f>
        <v>1</v>
      </c>
      <c r="R77" s="1">
        <f>IF(COUNTIFS($D$4:D77,D77,$C$4:C77,C77)=1,1,0)</f>
        <v>1</v>
      </c>
    </row>
    <row r="78" ht="15" customHeight="1" spans="1:18">
      <c r="A78" s="1" t="s">
        <v>306</v>
      </c>
      <c r="B78" s="53">
        <v>45842</v>
      </c>
      <c r="C78" s="1" t="s">
        <v>308</v>
      </c>
      <c r="D78" s="1" t="s">
        <v>30</v>
      </c>
      <c r="E78" s="1" t="s">
        <v>42</v>
      </c>
      <c r="F78" s="1" t="s">
        <v>146</v>
      </c>
      <c r="G78" s="1" t="s">
        <v>31</v>
      </c>
      <c r="H78" s="1">
        <v>2</v>
      </c>
      <c r="I78" s="54">
        <v>3716.28</v>
      </c>
      <c r="J78" s="55">
        <v>0.1</v>
      </c>
      <c r="K78" s="54">
        <v>1559.84</v>
      </c>
      <c r="L78" s="54">
        <v>6689.3</v>
      </c>
      <c r="M78" s="54">
        <v>3119.68</v>
      </c>
      <c r="N78" s="54">
        <v>3569.62</v>
      </c>
      <c r="O78" s="1" t="s">
        <v>44</v>
      </c>
      <c r="P78" s="1" t="s">
        <v>703</v>
      </c>
      <c r="Q78" s="1">
        <f>IF(COUNTIF($C$4:C78,C78)=1,1,0)</f>
        <v>1</v>
      </c>
      <c r="R78" s="1">
        <f>IF(COUNTIFS($D$4:D78,D78,$C$4:C78,C78)=1,1,0)</f>
        <v>1</v>
      </c>
    </row>
    <row r="79" ht="15" customHeight="1" spans="1:18">
      <c r="A79" s="1" t="s">
        <v>168</v>
      </c>
      <c r="B79" s="53">
        <v>45846</v>
      </c>
      <c r="C79" s="1" t="s">
        <v>170</v>
      </c>
      <c r="D79" s="1" t="s">
        <v>54</v>
      </c>
      <c r="E79" s="1" t="s">
        <v>55</v>
      </c>
      <c r="F79" s="1" t="s">
        <v>141</v>
      </c>
      <c r="G79" s="1" t="s">
        <v>90</v>
      </c>
      <c r="H79" s="1">
        <v>10</v>
      </c>
      <c r="I79" s="54">
        <v>1635.39</v>
      </c>
      <c r="J79" s="55">
        <v>0</v>
      </c>
      <c r="K79" s="54">
        <v>849.88</v>
      </c>
      <c r="L79" s="54">
        <v>16353.9</v>
      </c>
      <c r="M79" s="54">
        <v>8498.8</v>
      </c>
      <c r="N79" s="54">
        <v>7855.1</v>
      </c>
      <c r="O79" s="1" t="s">
        <v>26</v>
      </c>
      <c r="P79" s="1" t="s">
        <v>703</v>
      </c>
      <c r="Q79" s="1">
        <f>IF(COUNTIF($C$4:C79,C79)=1,1,0)</f>
        <v>1</v>
      </c>
      <c r="R79" s="1">
        <f>IF(COUNTIFS($D$4:D79,D79,$C$4:C79,C79)=1,1,0)</f>
        <v>1</v>
      </c>
    </row>
    <row r="80" ht="15" customHeight="1" spans="1:18">
      <c r="A80" s="1" t="s">
        <v>410</v>
      </c>
      <c r="B80" s="53">
        <v>45848</v>
      </c>
      <c r="C80" s="1" t="s">
        <v>267</v>
      </c>
      <c r="D80" s="1" t="s">
        <v>48</v>
      </c>
      <c r="E80" s="1" t="s">
        <v>16</v>
      </c>
      <c r="F80" s="1" t="s">
        <v>102</v>
      </c>
      <c r="G80" s="1" t="s">
        <v>112</v>
      </c>
      <c r="H80" s="1">
        <v>4</v>
      </c>
      <c r="I80" s="54">
        <v>1971.31</v>
      </c>
      <c r="J80" s="55">
        <v>0.05</v>
      </c>
      <c r="K80" s="54">
        <v>1252.35</v>
      </c>
      <c r="L80" s="54">
        <v>7490.98</v>
      </c>
      <c r="M80" s="54">
        <v>5009.4</v>
      </c>
      <c r="N80" s="54">
        <v>2481.58</v>
      </c>
      <c r="O80" s="1" t="s">
        <v>26</v>
      </c>
      <c r="P80" s="1" t="s">
        <v>703</v>
      </c>
      <c r="Q80" s="1">
        <f>IF(COUNTIF($C$4:C80,C80)=1,1,0)</f>
        <v>1</v>
      </c>
      <c r="R80" s="1">
        <f>IF(COUNTIFS($D$4:D80,D80,$C$4:C80,C80)=1,1,0)</f>
        <v>1</v>
      </c>
    </row>
    <row r="81" ht="15" customHeight="1" spans="1:18">
      <c r="A81" s="1" t="s">
        <v>389</v>
      </c>
      <c r="B81" s="53">
        <v>45850</v>
      </c>
      <c r="C81" s="1" t="s">
        <v>704</v>
      </c>
      <c r="D81" s="1" t="s">
        <v>80</v>
      </c>
      <c r="E81" s="1" t="s">
        <v>55</v>
      </c>
      <c r="F81" s="1" t="s">
        <v>154</v>
      </c>
      <c r="G81" s="1" t="s">
        <v>112</v>
      </c>
      <c r="H81" s="1">
        <v>11</v>
      </c>
      <c r="I81" s="54">
        <v>3142.36</v>
      </c>
      <c r="J81" s="55">
        <v>0</v>
      </c>
      <c r="K81" s="54">
        <v>1288.01</v>
      </c>
      <c r="L81" s="54">
        <v>34565.96</v>
      </c>
      <c r="M81" s="54">
        <v>14168.11</v>
      </c>
      <c r="N81" s="54">
        <v>20397.85</v>
      </c>
      <c r="O81" s="1" t="s">
        <v>136</v>
      </c>
      <c r="P81" s="1" t="s">
        <v>703</v>
      </c>
      <c r="Q81" s="1">
        <f>IF(COUNTIF($C$4:C81,C81)=1,1,0)</f>
        <v>1</v>
      </c>
      <c r="R81" s="1">
        <f>IF(COUNTIFS($D$4:D81,D81,$C$4:C81,C81)=1,1,0)</f>
        <v>1</v>
      </c>
    </row>
    <row r="82" ht="15" customHeight="1" spans="1:18">
      <c r="A82" s="1" t="s">
        <v>671</v>
      </c>
      <c r="B82" s="53">
        <v>45852</v>
      </c>
      <c r="C82" s="1" t="s">
        <v>672</v>
      </c>
      <c r="D82" s="1" t="s">
        <v>80</v>
      </c>
      <c r="E82" s="1" t="s">
        <v>42</v>
      </c>
      <c r="F82" s="1" t="s">
        <v>146</v>
      </c>
      <c r="G82" s="1" t="s">
        <v>18</v>
      </c>
      <c r="H82" s="1">
        <v>10</v>
      </c>
      <c r="I82" s="54">
        <v>1563.66</v>
      </c>
      <c r="J82" s="55">
        <v>0.15</v>
      </c>
      <c r="K82" s="54">
        <v>995.71</v>
      </c>
      <c r="L82" s="54">
        <v>13291.11</v>
      </c>
      <c r="M82" s="54">
        <v>9957.1</v>
      </c>
      <c r="N82" s="54">
        <v>3334.01</v>
      </c>
      <c r="O82" s="1" t="s">
        <v>32</v>
      </c>
      <c r="P82" s="1" t="s">
        <v>703</v>
      </c>
      <c r="Q82" s="1">
        <f>IF(COUNTIF($C$4:C82,C82)=1,1,0)</f>
        <v>1</v>
      </c>
      <c r="R82" s="1">
        <f>IF(COUNTIFS($D$4:D82,D82,$C$4:C82,C82)=1,1,0)</f>
        <v>1</v>
      </c>
    </row>
    <row r="83" ht="15" customHeight="1" spans="1:18">
      <c r="A83" s="1" t="s">
        <v>524</v>
      </c>
      <c r="B83" s="53">
        <v>45852</v>
      </c>
      <c r="C83" s="1" t="s">
        <v>705</v>
      </c>
      <c r="D83" s="1" t="s">
        <v>41</v>
      </c>
      <c r="E83" s="1" t="s">
        <v>16</v>
      </c>
      <c r="F83" s="1" t="s">
        <v>49</v>
      </c>
      <c r="G83" s="1" t="s">
        <v>38</v>
      </c>
      <c r="H83" s="1">
        <v>7</v>
      </c>
      <c r="I83" s="54">
        <v>1037.39</v>
      </c>
      <c r="J83" s="55">
        <v>0</v>
      </c>
      <c r="K83" s="54">
        <v>441.22</v>
      </c>
      <c r="L83" s="54">
        <v>7261.73</v>
      </c>
      <c r="M83" s="54">
        <v>3088.54</v>
      </c>
      <c r="N83" s="54">
        <v>4173.19</v>
      </c>
      <c r="O83" s="1" t="s">
        <v>50</v>
      </c>
      <c r="P83" s="1" t="s">
        <v>703</v>
      </c>
      <c r="Q83" s="1">
        <f>IF(COUNTIF($C$4:C83,C83)=1,1,0)</f>
        <v>1</v>
      </c>
      <c r="R83" s="1">
        <f>IF(COUNTIFS($D$4:D83,D83,$C$4:C83,C83)=1,1,0)</f>
        <v>1</v>
      </c>
    </row>
    <row r="84" ht="15" customHeight="1" spans="1:18">
      <c r="A84" s="1" t="s">
        <v>71</v>
      </c>
      <c r="B84" s="53">
        <v>45852</v>
      </c>
      <c r="C84" s="1" t="s">
        <v>73</v>
      </c>
      <c r="D84" s="1" t="s">
        <v>48</v>
      </c>
      <c r="E84" s="1" t="s">
        <v>16</v>
      </c>
      <c r="F84" s="1" t="s">
        <v>17</v>
      </c>
      <c r="G84" s="1" t="s">
        <v>57</v>
      </c>
      <c r="H84" s="1">
        <v>6</v>
      </c>
      <c r="I84" s="54">
        <v>4061.78</v>
      </c>
      <c r="J84" s="55">
        <v>0</v>
      </c>
      <c r="K84" s="54">
        <v>1735.67</v>
      </c>
      <c r="L84" s="54">
        <v>24370.68</v>
      </c>
      <c r="M84" s="54">
        <v>10414.02</v>
      </c>
      <c r="N84" s="54">
        <v>13956.66</v>
      </c>
      <c r="O84" s="1" t="s">
        <v>32</v>
      </c>
      <c r="P84" s="1" t="s">
        <v>703</v>
      </c>
      <c r="Q84" s="1">
        <f>IF(COUNTIF($C$4:C84,C84)=1,1,0)</f>
        <v>1</v>
      </c>
      <c r="R84" s="1">
        <f>IF(COUNTIFS($D$4:D84,D84,$C$4:C84,C84)=1,1,0)</f>
        <v>1</v>
      </c>
    </row>
    <row r="85" ht="15" customHeight="1" spans="1:18">
      <c r="A85" s="1" t="s">
        <v>194</v>
      </c>
      <c r="B85" s="53">
        <v>45853</v>
      </c>
      <c r="C85" s="1" t="s">
        <v>196</v>
      </c>
      <c r="D85" s="1" t="s">
        <v>48</v>
      </c>
      <c r="E85" s="1" t="s">
        <v>24</v>
      </c>
      <c r="F85" s="1" t="s">
        <v>25</v>
      </c>
      <c r="G85" s="1" t="s">
        <v>112</v>
      </c>
      <c r="H85" s="1">
        <v>8</v>
      </c>
      <c r="I85" s="54">
        <v>1444.54</v>
      </c>
      <c r="J85" s="55">
        <v>0.05</v>
      </c>
      <c r="K85" s="54">
        <v>776.9</v>
      </c>
      <c r="L85" s="54">
        <v>10978.5</v>
      </c>
      <c r="M85" s="54">
        <v>6215.2</v>
      </c>
      <c r="N85" s="54">
        <v>4763.3</v>
      </c>
      <c r="O85" s="1" t="s">
        <v>136</v>
      </c>
      <c r="P85" s="1" t="s">
        <v>703</v>
      </c>
      <c r="Q85" s="1">
        <f>IF(COUNTIF($C$4:C85,C85)=1,1,0)</f>
        <v>0</v>
      </c>
      <c r="R85" s="1">
        <f>IF(COUNTIFS($D$4:D85,D85,$C$4:C85,C85)=1,1,0)</f>
        <v>1</v>
      </c>
    </row>
    <row r="86" ht="15" customHeight="1" spans="1:18">
      <c r="A86" s="1" t="s">
        <v>613</v>
      </c>
      <c r="B86" s="53">
        <v>45855</v>
      </c>
      <c r="C86" s="1" t="s">
        <v>695</v>
      </c>
      <c r="D86" s="1" t="s">
        <v>30</v>
      </c>
      <c r="E86" s="1" t="s">
        <v>24</v>
      </c>
      <c r="F86" s="1" t="s">
        <v>25</v>
      </c>
      <c r="G86" s="1" t="s">
        <v>38</v>
      </c>
      <c r="H86" s="1">
        <v>8</v>
      </c>
      <c r="I86" s="54">
        <v>2586.98</v>
      </c>
      <c r="J86" s="55">
        <v>0.15</v>
      </c>
      <c r="K86" s="54">
        <v>1226.51</v>
      </c>
      <c r="L86" s="54">
        <v>17591.46</v>
      </c>
      <c r="M86" s="54">
        <v>9812.08</v>
      </c>
      <c r="N86" s="54">
        <v>7779.38</v>
      </c>
      <c r="O86" s="1" t="s">
        <v>19</v>
      </c>
      <c r="P86" s="1" t="s">
        <v>703</v>
      </c>
      <c r="Q86" s="1">
        <f>IF(COUNTIF($C$4:C86,C86)=1,1,0)</f>
        <v>0</v>
      </c>
      <c r="R86" s="1">
        <f>IF(COUNTIFS($D$4:D86,D86,$C$4:C86,C86)=1,1,0)</f>
        <v>0</v>
      </c>
    </row>
    <row r="87" ht="15" customHeight="1" spans="1:18">
      <c r="A87" s="1" t="s">
        <v>113</v>
      </c>
      <c r="B87" s="53">
        <v>45859</v>
      </c>
      <c r="C87" s="1" t="s">
        <v>115</v>
      </c>
      <c r="D87" s="1" t="s">
        <v>80</v>
      </c>
      <c r="E87" s="1" t="s">
        <v>24</v>
      </c>
      <c r="F87" s="1" t="s">
        <v>116</v>
      </c>
      <c r="G87" s="1" t="s">
        <v>90</v>
      </c>
      <c r="H87" s="1">
        <v>12</v>
      </c>
      <c r="I87" s="54">
        <v>2348.47</v>
      </c>
      <c r="J87" s="55">
        <v>0.2</v>
      </c>
      <c r="K87" s="54">
        <v>1244.64</v>
      </c>
      <c r="L87" s="54">
        <v>22545.31</v>
      </c>
      <c r="M87" s="54">
        <v>14935.68</v>
      </c>
      <c r="N87" s="54">
        <v>7609.63</v>
      </c>
      <c r="O87" s="1" t="s">
        <v>19</v>
      </c>
      <c r="P87" s="1" t="s">
        <v>703</v>
      </c>
      <c r="Q87" s="1">
        <f>IF(COUNTIF($C$4:C87,C87)=1,1,0)</f>
        <v>1</v>
      </c>
      <c r="R87" s="1">
        <f>IF(COUNTIFS($D$4:D87,D87,$C$4:C87,C87)=1,1,0)</f>
        <v>1</v>
      </c>
    </row>
    <row r="88" ht="15" customHeight="1" spans="1:18">
      <c r="A88" s="1" t="s">
        <v>631</v>
      </c>
      <c r="B88" s="53">
        <v>45859</v>
      </c>
      <c r="C88" s="1" t="s">
        <v>355</v>
      </c>
      <c r="D88" s="1" t="s">
        <v>30</v>
      </c>
      <c r="E88" s="1" t="s">
        <v>16</v>
      </c>
      <c r="F88" s="1" t="s">
        <v>174</v>
      </c>
      <c r="G88" s="1" t="s">
        <v>90</v>
      </c>
      <c r="H88" s="1">
        <v>5</v>
      </c>
      <c r="I88" s="54">
        <v>4334.95</v>
      </c>
      <c r="J88" s="55">
        <v>0.1</v>
      </c>
      <c r="K88" s="54">
        <v>1885.71</v>
      </c>
      <c r="L88" s="54">
        <v>19507.28</v>
      </c>
      <c r="M88" s="54">
        <v>9428.55</v>
      </c>
      <c r="N88" s="54">
        <v>10078.73</v>
      </c>
      <c r="O88" s="1" t="s">
        <v>136</v>
      </c>
      <c r="P88" s="1" t="s">
        <v>703</v>
      </c>
      <c r="Q88" s="1">
        <f>IF(COUNTIF($C$4:C88,C88)=1,1,0)</f>
        <v>1</v>
      </c>
      <c r="R88" s="1">
        <f>IF(COUNTIFS($D$4:D88,D88,$C$4:C88,C88)=1,1,0)</f>
        <v>1</v>
      </c>
    </row>
    <row r="89" ht="15" customHeight="1" spans="1:18">
      <c r="A89" s="1" t="s">
        <v>315</v>
      </c>
      <c r="B89" s="53">
        <v>45862</v>
      </c>
      <c r="C89" s="1" t="s">
        <v>317</v>
      </c>
      <c r="D89" s="1" t="s">
        <v>48</v>
      </c>
      <c r="E89" s="1" t="s">
        <v>61</v>
      </c>
      <c r="F89" s="1" t="s">
        <v>111</v>
      </c>
      <c r="G89" s="1" t="s">
        <v>18</v>
      </c>
      <c r="H89" s="1">
        <v>10</v>
      </c>
      <c r="I89" s="54">
        <v>1641.21</v>
      </c>
      <c r="J89" s="55">
        <v>0.05</v>
      </c>
      <c r="K89" s="54">
        <v>1032.52</v>
      </c>
      <c r="L89" s="54">
        <v>15591.49</v>
      </c>
      <c r="M89" s="54">
        <v>10325.2</v>
      </c>
      <c r="N89" s="54">
        <v>5266.29</v>
      </c>
      <c r="O89" s="1" t="s">
        <v>19</v>
      </c>
      <c r="P89" s="1" t="s">
        <v>703</v>
      </c>
      <c r="Q89" s="1">
        <f>IF(COUNTIF($C$4:C89,C89)=1,1,0)</f>
        <v>1</v>
      </c>
      <c r="R89" s="1">
        <f>IF(COUNTIFS($D$4:D89,D89,$C$4:C89,C89)=1,1,0)</f>
        <v>1</v>
      </c>
    </row>
    <row r="90" ht="15" customHeight="1" spans="1:18">
      <c r="A90" s="1" t="s">
        <v>527</v>
      </c>
      <c r="B90" s="53">
        <v>45862</v>
      </c>
      <c r="C90" s="1" t="s">
        <v>500</v>
      </c>
      <c r="D90" s="1" t="s">
        <v>48</v>
      </c>
      <c r="E90" s="1" t="s">
        <v>61</v>
      </c>
      <c r="F90" s="1" t="s">
        <v>94</v>
      </c>
      <c r="G90" s="1" t="s">
        <v>90</v>
      </c>
      <c r="H90" s="1">
        <v>5</v>
      </c>
      <c r="I90" s="54">
        <v>4171.32</v>
      </c>
      <c r="J90" s="55">
        <v>0.05</v>
      </c>
      <c r="K90" s="54">
        <v>2320.39</v>
      </c>
      <c r="L90" s="54">
        <v>19813.77</v>
      </c>
      <c r="M90" s="54">
        <v>11601.95</v>
      </c>
      <c r="N90" s="54">
        <v>8211.82</v>
      </c>
      <c r="O90" s="1" t="s">
        <v>32</v>
      </c>
      <c r="P90" s="1" t="s">
        <v>703</v>
      </c>
      <c r="Q90" s="1">
        <f>IF(COUNTIF($C$4:C90,C90)=1,1,0)</f>
        <v>1</v>
      </c>
      <c r="R90" s="1">
        <f>IF(COUNTIFS($D$4:D90,D90,$C$4:C90,C90)=1,1,0)</f>
        <v>1</v>
      </c>
    </row>
    <row r="91" ht="15" customHeight="1" spans="1:18">
      <c r="A91" s="1" t="s">
        <v>252</v>
      </c>
      <c r="B91" s="53">
        <v>45878</v>
      </c>
      <c r="C91" s="1" t="s">
        <v>254</v>
      </c>
      <c r="D91" s="1" t="s">
        <v>41</v>
      </c>
      <c r="E91" s="1" t="s">
        <v>42</v>
      </c>
      <c r="F91" s="1" t="s">
        <v>85</v>
      </c>
      <c r="G91" s="1" t="s">
        <v>57</v>
      </c>
      <c r="H91" s="1">
        <v>11</v>
      </c>
      <c r="I91" s="54">
        <v>4866.51</v>
      </c>
      <c r="J91" s="55">
        <v>0.1</v>
      </c>
      <c r="K91" s="54">
        <v>2058.24</v>
      </c>
      <c r="L91" s="54">
        <v>48178.45</v>
      </c>
      <c r="M91" s="54">
        <v>22640.64</v>
      </c>
      <c r="N91" s="54">
        <v>25537.81</v>
      </c>
      <c r="O91" s="1" t="s">
        <v>26</v>
      </c>
      <c r="P91" s="1" t="s">
        <v>706</v>
      </c>
      <c r="Q91" s="1">
        <f>IF(COUNTIF($C$4:C91,C91)=1,1,0)</f>
        <v>1</v>
      </c>
      <c r="R91" s="1">
        <f>IF(COUNTIFS($D$4:D91,D91,$C$4:C91,C91)=1,1,0)</f>
        <v>1</v>
      </c>
    </row>
    <row r="92" ht="15" customHeight="1" spans="1:18">
      <c r="A92" s="1" t="s">
        <v>493</v>
      </c>
      <c r="B92" s="53">
        <v>45878</v>
      </c>
      <c r="C92" s="1" t="s">
        <v>495</v>
      </c>
      <c r="D92" s="1" t="s">
        <v>41</v>
      </c>
      <c r="E92" s="1" t="s">
        <v>16</v>
      </c>
      <c r="F92" s="1" t="s">
        <v>17</v>
      </c>
      <c r="G92" s="1" t="s">
        <v>57</v>
      </c>
      <c r="H92" s="1">
        <v>5</v>
      </c>
      <c r="I92" s="54">
        <v>4183.02</v>
      </c>
      <c r="J92" s="55">
        <v>0</v>
      </c>
      <c r="K92" s="54">
        <v>2401.97</v>
      </c>
      <c r="L92" s="54">
        <v>20915.1</v>
      </c>
      <c r="M92" s="54">
        <v>12009.85</v>
      </c>
      <c r="N92" s="54">
        <v>8905.25</v>
      </c>
      <c r="O92" s="1" t="s">
        <v>19</v>
      </c>
      <c r="P92" s="1" t="s">
        <v>706</v>
      </c>
      <c r="Q92" s="1">
        <f>IF(COUNTIF($C$4:C92,C92)=1,1,0)</f>
        <v>1</v>
      </c>
      <c r="R92" s="1">
        <f>IF(COUNTIFS($D$4:D92,D92,$C$4:C92,C92)=1,1,0)</f>
        <v>1</v>
      </c>
    </row>
    <row r="93" ht="15" customHeight="1" spans="1:18">
      <c r="A93" s="1" t="s">
        <v>647</v>
      </c>
      <c r="B93" s="53">
        <v>45879</v>
      </c>
      <c r="C93" s="1" t="s">
        <v>649</v>
      </c>
      <c r="D93" s="1" t="s">
        <v>54</v>
      </c>
      <c r="E93" s="1" t="s">
        <v>24</v>
      </c>
      <c r="F93" s="1" t="s">
        <v>131</v>
      </c>
      <c r="G93" s="1" t="s">
        <v>57</v>
      </c>
      <c r="H93" s="1">
        <v>12</v>
      </c>
      <c r="I93" s="54">
        <v>3409.2</v>
      </c>
      <c r="J93" s="55">
        <v>0</v>
      </c>
      <c r="K93" s="54">
        <v>1605.27</v>
      </c>
      <c r="L93" s="54">
        <v>40910.4</v>
      </c>
      <c r="M93" s="54">
        <v>19263.24</v>
      </c>
      <c r="N93" s="54">
        <v>21647.16</v>
      </c>
      <c r="O93" s="1" t="s">
        <v>26</v>
      </c>
      <c r="P93" s="1" t="s">
        <v>706</v>
      </c>
      <c r="Q93" s="1">
        <f>IF(COUNTIF($C$4:C93,C93)=1,1,0)</f>
        <v>1</v>
      </c>
      <c r="R93" s="1">
        <f>IF(COUNTIFS($D$4:D93,D93,$C$4:C93,C93)=1,1,0)</f>
        <v>1</v>
      </c>
    </row>
    <row r="94" ht="15" customHeight="1" spans="1:18">
      <c r="A94" s="1" t="s">
        <v>595</v>
      </c>
      <c r="B94" s="53">
        <v>45880</v>
      </c>
      <c r="C94" s="1" t="s">
        <v>597</v>
      </c>
      <c r="D94" s="1" t="s">
        <v>80</v>
      </c>
      <c r="E94" s="1" t="s">
        <v>24</v>
      </c>
      <c r="F94" s="1" t="s">
        <v>131</v>
      </c>
      <c r="G94" s="1" t="s">
        <v>57</v>
      </c>
      <c r="H94" s="1">
        <v>9</v>
      </c>
      <c r="I94" s="54">
        <v>4344.33</v>
      </c>
      <c r="J94" s="55">
        <v>0.1</v>
      </c>
      <c r="K94" s="54">
        <v>2510.89</v>
      </c>
      <c r="L94" s="54">
        <v>35189.07</v>
      </c>
      <c r="M94" s="54">
        <v>22598.01</v>
      </c>
      <c r="N94" s="54">
        <v>12591.06</v>
      </c>
      <c r="O94" s="1" t="s">
        <v>50</v>
      </c>
      <c r="P94" s="1" t="s">
        <v>706</v>
      </c>
      <c r="Q94" s="1">
        <f>IF(COUNTIF($C$4:C94,C94)=1,1,0)</f>
        <v>1</v>
      </c>
      <c r="R94" s="1">
        <f>IF(COUNTIFS($D$4:D94,D94,$C$4:C94,C94)=1,1,0)</f>
        <v>1</v>
      </c>
    </row>
    <row r="95" ht="15" customHeight="1" spans="1:18">
      <c r="A95" s="1" t="s">
        <v>33</v>
      </c>
      <c r="B95" s="53">
        <v>45882</v>
      </c>
      <c r="C95" s="1" t="s">
        <v>35</v>
      </c>
      <c r="D95" s="1" t="s">
        <v>41</v>
      </c>
      <c r="E95" s="1" t="s">
        <v>16</v>
      </c>
      <c r="F95" s="1" t="s">
        <v>37</v>
      </c>
      <c r="G95" s="1" t="s">
        <v>38</v>
      </c>
      <c r="H95" s="1">
        <v>12</v>
      </c>
      <c r="I95" s="54">
        <v>1449.61</v>
      </c>
      <c r="J95" s="55">
        <v>0</v>
      </c>
      <c r="K95" s="54">
        <v>747.37</v>
      </c>
      <c r="L95" s="54">
        <v>17395.32</v>
      </c>
      <c r="M95" s="54">
        <v>8968.44</v>
      </c>
      <c r="N95" s="54">
        <v>8426.88</v>
      </c>
      <c r="O95" s="1" t="s">
        <v>19</v>
      </c>
      <c r="P95" s="1" t="s">
        <v>706</v>
      </c>
      <c r="Q95" s="1">
        <f>IF(COUNTIF($C$4:C95,C95)=1,1,0)</f>
        <v>1</v>
      </c>
      <c r="R95" s="1">
        <f>IF(COUNTIFS($D$4:D95,D95,$C$4:C95,C95)=1,1,0)</f>
        <v>1</v>
      </c>
    </row>
    <row r="96" ht="15" customHeight="1" spans="1:18">
      <c r="A96" s="1" t="s">
        <v>608</v>
      </c>
      <c r="B96" s="53">
        <v>45883</v>
      </c>
      <c r="C96" s="1" t="s">
        <v>610</v>
      </c>
      <c r="D96" s="1" t="s">
        <v>30</v>
      </c>
      <c r="E96" s="1" t="s">
        <v>61</v>
      </c>
      <c r="F96" s="1" t="s">
        <v>106</v>
      </c>
      <c r="G96" s="1" t="s">
        <v>38</v>
      </c>
      <c r="H96" s="1">
        <v>6</v>
      </c>
      <c r="I96" s="54">
        <v>641.54</v>
      </c>
      <c r="J96" s="55">
        <v>0.1</v>
      </c>
      <c r="K96" s="54">
        <v>370.12</v>
      </c>
      <c r="L96" s="54">
        <v>3464.32</v>
      </c>
      <c r="M96" s="54">
        <v>2220.72</v>
      </c>
      <c r="N96" s="54">
        <v>1243.6</v>
      </c>
      <c r="O96" s="1" t="s">
        <v>19</v>
      </c>
      <c r="P96" s="1" t="s">
        <v>706</v>
      </c>
      <c r="Q96" s="1">
        <f>IF(COUNTIF($C$4:C96,C96)=1,1,0)</f>
        <v>1</v>
      </c>
      <c r="R96" s="1">
        <f>IF(COUNTIFS($D$4:D96,D96,$C$4:C96,C96)=1,1,0)</f>
        <v>1</v>
      </c>
    </row>
    <row r="97" ht="15" customHeight="1" spans="1:18">
      <c r="A97" s="1" t="s">
        <v>425</v>
      </c>
      <c r="B97" s="53">
        <v>45884</v>
      </c>
      <c r="C97" s="1" t="s">
        <v>427</v>
      </c>
      <c r="D97" s="1" t="s">
        <v>54</v>
      </c>
      <c r="E97" s="1" t="s">
        <v>42</v>
      </c>
      <c r="F97" s="1" t="s">
        <v>85</v>
      </c>
      <c r="G97" s="1" t="s">
        <v>90</v>
      </c>
      <c r="H97" s="1">
        <v>5</v>
      </c>
      <c r="I97" s="54">
        <v>1342.41</v>
      </c>
      <c r="J97" s="55">
        <v>0.1</v>
      </c>
      <c r="K97" s="54">
        <v>787.61</v>
      </c>
      <c r="L97" s="54">
        <v>6040.84</v>
      </c>
      <c r="M97" s="54">
        <v>3938.05</v>
      </c>
      <c r="N97" s="54">
        <v>2102.79</v>
      </c>
      <c r="O97" s="1" t="s">
        <v>26</v>
      </c>
      <c r="P97" s="1" t="s">
        <v>706</v>
      </c>
      <c r="Q97" s="1">
        <f>IF(COUNTIF($C$4:C97,C97)=1,1,0)</f>
        <v>1</v>
      </c>
      <c r="R97" s="1">
        <f>IF(COUNTIFS($D$4:D97,D97,$C$4:C97,C97)=1,1,0)</f>
        <v>1</v>
      </c>
    </row>
    <row r="98" ht="15" customHeight="1" spans="1:18">
      <c r="A98" s="1" t="s">
        <v>601</v>
      </c>
      <c r="B98" s="53">
        <v>45887</v>
      </c>
      <c r="C98" s="1" t="s">
        <v>695</v>
      </c>
      <c r="D98" s="1" t="s">
        <v>41</v>
      </c>
      <c r="E98" s="1" t="s">
        <v>16</v>
      </c>
      <c r="F98" s="1" t="s">
        <v>102</v>
      </c>
      <c r="G98" s="1" t="s">
        <v>38</v>
      </c>
      <c r="H98" s="1">
        <v>1</v>
      </c>
      <c r="I98" s="54">
        <v>1984.81</v>
      </c>
      <c r="J98" s="55">
        <v>0.1</v>
      </c>
      <c r="K98" s="54">
        <v>1018.5</v>
      </c>
      <c r="L98" s="54">
        <v>1786.33</v>
      </c>
      <c r="M98" s="54">
        <v>1018.5</v>
      </c>
      <c r="N98" s="54">
        <v>767.83</v>
      </c>
      <c r="O98" s="1" t="s">
        <v>32</v>
      </c>
      <c r="P98" s="1" t="s">
        <v>706</v>
      </c>
      <c r="Q98" s="1">
        <f>IF(COUNTIF($C$4:C98,C98)=1,1,0)</f>
        <v>0</v>
      </c>
      <c r="R98" s="1">
        <f>IF(COUNTIFS($D$4:D98,D98,$C$4:C98,C98)=1,1,0)</f>
        <v>1</v>
      </c>
    </row>
    <row r="99" ht="15" customHeight="1" spans="1:18">
      <c r="A99" s="1" t="s">
        <v>142</v>
      </c>
      <c r="B99" s="53">
        <v>45887</v>
      </c>
      <c r="C99" s="1" t="s">
        <v>144</v>
      </c>
      <c r="D99" s="1" t="s">
        <v>54</v>
      </c>
      <c r="E99" s="1" t="s">
        <v>42</v>
      </c>
      <c r="F99" s="1" t="s">
        <v>146</v>
      </c>
      <c r="G99" s="1" t="s">
        <v>112</v>
      </c>
      <c r="H99" s="1">
        <v>1</v>
      </c>
      <c r="I99" s="54">
        <v>3819.41</v>
      </c>
      <c r="J99" s="55">
        <v>0</v>
      </c>
      <c r="K99" s="54">
        <v>1577.5</v>
      </c>
      <c r="L99" s="54">
        <v>3819.41</v>
      </c>
      <c r="M99" s="54">
        <v>1577.5</v>
      </c>
      <c r="N99" s="54">
        <v>2241.91</v>
      </c>
      <c r="O99" s="1" t="s">
        <v>136</v>
      </c>
      <c r="P99" s="1" t="s">
        <v>706</v>
      </c>
      <c r="Q99" s="1">
        <f>IF(COUNTIF($C$4:C99,C99)=1,1,0)</f>
        <v>1</v>
      </c>
      <c r="R99" s="1">
        <f>IF(COUNTIFS($D$4:D99,D99,$C$4:C99,C99)=1,1,0)</f>
        <v>1</v>
      </c>
    </row>
    <row r="100" ht="15" customHeight="1" spans="1:18">
      <c r="A100" s="1" t="s">
        <v>346</v>
      </c>
      <c r="B100" s="53">
        <v>45891</v>
      </c>
      <c r="C100" s="1" t="s">
        <v>347</v>
      </c>
      <c r="D100" s="1" t="s">
        <v>48</v>
      </c>
      <c r="E100" s="1" t="s">
        <v>16</v>
      </c>
      <c r="F100" s="1" t="s">
        <v>37</v>
      </c>
      <c r="G100" s="1" t="s">
        <v>31</v>
      </c>
      <c r="H100" s="1">
        <v>11</v>
      </c>
      <c r="I100" s="54">
        <v>3978.65</v>
      </c>
      <c r="J100" s="55">
        <v>0.1</v>
      </c>
      <c r="K100" s="54">
        <v>2363.48</v>
      </c>
      <c r="L100" s="54">
        <v>39388.64</v>
      </c>
      <c r="M100" s="54">
        <v>25998.28</v>
      </c>
      <c r="N100" s="54">
        <v>13390.36</v>
      </c>
      <c r="O100" s="1" t="s">
        <v>26</v>
      </c>
      <c r="P100" s="1" t="s">
        <v>706</v>
      </c>
      <c r="Q100" s="1">
        <f>IF(COUNTIF($C$4:C100,C100)=1,1,0)</f>
        <v>1</v>
      </c>
      <c r="R100" s="1">
        <f>IF(COUNTIFS($D$4:D100,D100,$C$4:C100,C100)=1,1,0)</f>
        <v>1</v>
      </c>
    </row>
    <row r="101" ht="15" customHeight="1" spans="1:18">
      <c r="A101" s="1" t="s">
        <v>27</v>
      </c>
      <c r="B101" s="53">
        <v>45891</v>
      </c>
      <c r="C101" s="1" t="s">
        <v>29</v>
      </c>
      <c r="D101" s="1" t="s">
        <v>30</v>
      </c>
      <c r="E101" s="1" t="s">
        <v>24</v>
      </c>
      <c r="F101" s="1" t="s">
        <v>25</v>
      </c>
      <c r="G101" s="1" t="s">
        <v>31</v>
      </c>
      <c r="H101" s="1">
        <v>10</v>
      </c>
      <c r="I101" s="54">
        <v>1202.76</v>
      </c>
      <c r="J101" s="55">
        <v>0.15</v>
      </c>
      <c r="K101" s="54">
        <v>502.02</v>
      </c>
      <c r="L101" s="54">
        <v>10223.46</v>
      </c>
      <c r="M101" s="54">
        <v>5020.2</v>
      </c>
      <c r="N101" s="54">
        <v>5203.26</v>
      </c>
      <c r="O101" s="1" t="s">
        <v>32</v>
      </c>
      <c r="P101" s="1" t="s">
        <v>706</v>
      </c>
      <c r="Q101" s="1">
        <f>IF(COUNTIF($C$4:C101,C101)=1,1,0)</f>
        <v>1</v>
      </c>
      <c r="R101" s="1">
        <f>IF(COUNTIFS($D$4:D101,D101,$C$4:C101,C101)=1,1,0)</f>
        <v>1</v>
      </c>
    </row>
    <row r="102" ht="15" customHeight="1" spans="1:18">
      <c r="A102" s="1" t="s">
        <v>669</v>
      </c>
      <c r="B102" s="53">
        <v>45893</v>
      </c>
      <c r="C102" s="1" t="s">
        <v>245</v>
      </c>
      <c r="D102" s="1" t="s">
        <v>54</v>
      </c>
      <c r="E102" s="1" t="s">
        <v>16</v>
      </c>
      <c r="F102" s="1" t="s">
        <v>49</v>
      </c>
      <c r="G102" s="1" t="s">
        <v>31</v>
      </c>
      <c r="H102" s="1">
        <v>2</v>
      </c>
      <c r="I102" s="54">
        <v>2097.56</v>
      </c>
      <c r="J102" s="55">
        <v>0</v>
      </c>
      <c r="K102" s="54">
        <v>1252.59</v>
      </c>
      <c r="L102" s="54">
        <v>4195.12</v>
      </c>
      <c r="M102" s="54">
        <v>2505.18</v>
      </c>
      <c r="N102" s="54">
        <v>1689.94</v>
      </c>
      <c r="O102" s="1" t="s">
        <v>44</v>
      </c>
      <c r="P102" s="1" t="s">
        <v>706</v>
      </c>
      <c r="Q102" s="1">
        <f>IF(COUNTIF($C$4:C102,C102)=1,1,0)</f>
        <v>0</v>
      </c>
      <c r="R102" s="1">
        <f>IF(COUNTIFS($D$4:D102,D102,$C$4:C102,C102)=1,1,0)</f>
        <v>1</v>
      </c>
    </row>
    <row r="103" ht="15" customHeight="1" spans="1:18">
      <c r="A103" s="1" t="s">
        <v>293</v>
      </c>
      <c r="B103" s="53">
        <v>45905</v>
      </c>
      <c r="C103" s="1" t="s">
        <v>295</v>
      </c>
      <c r="D103" s="1" t="s">
        <v>54</v>
      </c>
      <c r="E103" s="1" t="s">
        <v>42</v>
      </c>
      <c r="F103" s="1" t="s">
        <v>85</v>
      </c>
      <c r="G103" s="1" t="s">
        <v>112</v>
      </c>
      <c r="H103" s="1">
        <v>10</v>
      </c>
      <c r="I103" s="54">
        <v>2818.45</v>
      </c>
      <c r="J103" s="55">
        <v>0.1</v>
      </c>
      <c r="K103" s="54">
        <v>1572.66</v>
      </c>
      <c r="L103" s="54">
        <v>25366.05</v>
      </c>
      <c r="M103" s="54">
        <v>15726.6</v>
      </c>
      <c r="N103" s="54">
        <v>9639.45</v>
      </c>
      <c r="O103" s="1" t="s">
        <v>26</v>
      </c>
      <c r="P103" s="1" t="s">
        <v>707</v>
      </c>
      <c r="Q103" s="1">
        <f>IF(COUNTIF($C$4:C103,C103)=1,1,0)</f>
        <v>0</v>
      </c>
      <c r="R103" s="1">
        <f>IF(COUNTIFS($D$4:D103,D103,$C$4:C103,C103)=1,1,0)</f>
        <v>1</v>
      </c>
    </row>
    <row r="104" ht="15" customHeight="1" spans="1:18">
      <c r="A104" s="1" t="s">
        <v>545</v>
      </c>
      <c r="B104" s="53">
        <v>45905</v>
      </c>
      <c r="C104" s="1" t="s">
        <v>546</v>
      </c>
      <c r="D104" s="1" t="s">
        <v>48</v>
      </c>
      <c r="E104" s="1" t="s">
        <v>61</v>
      </c>
      <c r="F104" s="1" t="s">
        <v>111</v>
      </c>
      <c r="G104" s="1" t="s">
        <v>38</v>
      </c>
      <c r="H104" s="1">
        <v>7</v>
      </c>
      <c r="I104" s="54">
        <v>3285.43</v>
      </c>
      <c r="J104" s="55">
        <v>0</v>
      </c>
      <c r="K104" s="54">
        <v>1415.92</v>
      </c>
      <c r="L104" s="54">
        <v>22998.01</v>
      </c>
      <c r="M104" s="54">
        <v>9911.44</v>
      </c>
      <c r="N104" s="54">
        <v>13086.57</v>
      </c>
      <c r="O104" s="1" t="s">
        <v>50</v>
      </c>
      <c r="P104" s="1" t="s">
        <v>707</v>
      </c>
      <c r="Q104" s="1">
        <f>IF(COUNTIF($C$4:C104,C104)=1,1,0)</f>
        <v>1</v>
      </c>
      <c r="R104" s="1">
        <f>IF(COUNTIFS($D$4:D104,D104,$C$4:C104,C104)=1,1,0)</f>
        <v>1</v>
      </c>
    </row>
    <row r="105" ht="15" customHeight="1" spans="1:18">
      <c r="A105" s="1" t="s">
        <v>414</v>
      </c>
      <c r="B105" s="53">
        <v>45906</v>
      </c>
      <c r="C105" s="1" t="s">
        <v>416</v>
      </c>
      <c r="D105" s="1" t="s">
        <v>80</v>
      </c>
      <c r="E105" s="1" t="s">
        <v>42</v>
      </c>
      <c r="F105" s="1" t="s">
        <v>85</v>
      </c>
      <c r="G105" s="1" t="s">
        <v>112</v>
      </c>
      <c r="H105" s="1">
        <v>7</v>
      </c>
      <c r="I105" s="54">
        <v>3961.09</v>
      </c>
      <c r="J105" s="55">
        <v>0.1</v>
      </c>
      <c r="K105" s="54">
        <v>2302.23</v>
      </c>
      <c r="L105" s="54">
        <v>24954.87</v>
      </c>
      <c r="M105" s="54">
        <v>16115.61</v>
      </c>
      <c r="N105" s="54">
        <v>8839.26</v>
      </c>
      <c r="O105" s="1" t="s">
        <v>32</v>
      </c>
      <c r="P105" s="1" t="s">
        <v>707</v>
      </c>
      <c r="Q105" s="1">
        <f>IF(COUNTIF($C$4:C105,C105)=1,1,0)</f>
        <v>1</v>
      </c>
      <c r="R105" s="1">
        <f>IF(COUNTIFS($D$4:D105,D105,$C$4:C105,C105)=1,1,0)</f>
        <v>1</v>
      </c>
    </row>
    <row r="106" ht="15" customHeight="1" spans="1:18">
      <c r="A106" s="1" t="s">
        <v>628</v>
      </c>
      <c r="B106" s="53">
        <v>45910</v>
      </c>
      <c r="C106" s="1" t="s">
        <v>630</v>
      </c>
      <c r="D106" s="1" t="s">
        <v>30</v>
      </c>
      <c r="E106" s="1" t="s">
        <v>55</v>
      </c>
      <c r="F106" s="1" t="s">
        <v>56</v>
      </c>
      <c r="G106" s="1" t="s">
        <v>31</v>
      </c>
      <c r="H106" s="1">
        <v>6</v>
      </c>
      <c r="I106" s="54">
        <v>4804.7</v>
      </c>
      <c r="J106" s="55">
        <v>0</v>
      </c>
      <c r="K106" s="54">
        <v>2124.45</v>
      </c>
      <c r="L106" s="54">
        <v>28828.2</v>
      </c>
      <c r="M106" s="54">
        <v>12746.7</v>
      </c>
      <c r="N106" s="54">
        <v>16081.5</v>
      </c>
      <c r="O106" s="1" t="s">
        <v>136</v>
      </c>
      <c r="P106" s="1" t="s">
        <v>707</v>
      </c>
      <c r="Q106" s="1">
        <f>IF(COUNTIF($C$4:C106,C106)=1,1,0)</f>
        <v>1</v>
      </c>
      <c r="R106" s="1">
        <f>IF(COUNTIFS($D$4:D106,D106,$C$4:C106,C106)=1,1,0)</f>
        <v>1</v>
      </c>
    </row>
    <row r="107" ht="15" customHeight="1" spans="1:18">
      <c r="A107" s="1" t="s">
        <v>445</v>
      </c>
      <c r="B107" s="53">
        <v>45911</v>
      </c>
      <c r="C107" s="1" t="s">
        <v>447</v>
      </c>
      <c r="D107" s="1" t="s">
        <v>54</v>
      </c>
      <c r="E107" s="1" t="s">
        <v>61</v>
      </c>
      <c r="F107" s="1" t="s">
        <v>120</v>
      </c>
      <c r="G107" s="1" t="s">
        <v>57</v>
      </c>
      <c r="H107" s="1">
        <v>8</v>
      </c>
      <c r="I107" s="54">
        <v>2866.86</v>
      </c>
      <c r="J107" s="55">
        <v>0</v>
      </c>
      <c r="K107" s="54">
        <v>1856.13</v>
      </c>
      <c r="L107" s="54">
        <v>22934.88</v>
      </c>
      <c r="M107" s="54">
        <v>14849.04</v>
      </c>
      <c r="N107" s="54">
        <v>8085.84</v>
      </c>
      <c r="O107" s="1" t="s">
        <v>19</v>
      </c>
      <c r="P107" s="1" t="s">
        <v>707</v>
      </c>
      <c r="Q107" s="1">
        <f>IF(COUNTIF($C$4:C107,C107)=1,1,0)</f>
        <v>1</v>
      </c>
      <c r="R107" s="1">
        <f>IF(COUNTIFS($D$4:D107,D107,$C$4:C107,C107)=1,1,0)</f>
        <v>1</v>
      </c>
    </row>
    <row r="108" ht="15" customHeight="1" spans="1:18">
      <c r="A108" s="1" t="s">
        <v>285</v>
      </c>
      <c r="B108" s="53">
        <v>45914</v>
      </c>
      <c r="C108" s="1" t="s">
        <v>286</v>
      </c>
      <c r="D108" s="1" t="s">
        <v>30</v>
      </c>
      <c r="E108" s="1" t="s">
        <v>42</v>
      </c>
      <c r="F108" s="1" t="s">
        <v>89</v>
      </c>
      <c r="G108" s="1" t="s">
        <v>112</v>
      </c>
      <c r="H108" s="1">
        <v>3</v>
      </c>
      <c r="I108" s="54">
        <v>4138.39</v>
      </c>
      <c r="J108" s="55">
        <v>0</v>
      </c>
      <c r="K108" s="54">
        <v>2484.34</v>
      </c>
      <c r="L108" s="54">
        <v>12415.17</v>
      </c>
      <c r="M108" s="54">
        <v>7453.02</v>
      </c>
      <c r="N108" s="54">
        <v>4962.15</v>
      </c>
      <c r="O108" s="1" t="s">
        <v>26</v>
      </c>
      <c r="P108" s="1" t="s">
        <v>707</v>
      </c>
      <c r="Q108" s="1">
        <f>IF(COUNTIF($C$4:C108,C108)=1,1,0)</f>
        <v>1</v>
      </c>
      <c r="R108" s="1">
        <f>IF(COUNTIFS($D$4:D108,D108,$C$4:C108,C108)=1,1,0)</f>
        <v>1</v>
      </c>
    </row>
    <row r="109" ht="15" customHeight="1" spans="1:18">
      <c r="A109" s="1" t="s">
        <v>181</v>
      </c>
      <c r="B109" s="53">
        <v>45914</v>
      </c>
      <c r="C109" s="1" t="s">
        <v>183</v>
      </c>
      <c r="D109" s="1" t="s">
        <v>48</v>
      </c>
      <c r="E109" s="1" t="s">
        <v>24</v>
      </c>
      <c r="F109" s="1" t="s">
        <v>124</v>
      </c>
      <c r="G109" s="1" t="s">
        <v>90</v>
      </c>
      <c r="H109" s="1">
        <v>10</v>
      </c>
      <c r="I109" s="54">
        <v>486.35</v>
      </c>
      <c r="J109" s="55">
        <v>0</v>
      </c>
      <c r="K109" s="54">
        <v>247.07</v>
      </c>
      <c r="L109" s="54">
        <v>4863.5</v>
      </c>
      <c r="M109" s="54">
        <v>2470.7</v>
      </c>
      <c r="N109" s="54">
        <v>2392.8</v>
      </c>
      <c r="O109" s="1" t="s">
        <v>32</v>
      </c>
      <c r="P109" s="1" t="s">
        <v>707</v>
      </c>
      <c r="Q109" s="1">
        <f>IF(COUNTIF($C$4:C109,C109)=1,1,0)</f>
        <v>1</v>
      </c>
      <c r="R109" s="1">
        <f>IF(COUNTIFS($D$4:D109,D109,$C$4:C109,C109)=1,1,0)</f>
        <v>1</v>
      </c>
    </row>
    <row r="110" ht="15" customHeight="1" spans="1:18">
      <c r="A110" s="1" t="s">
        <v>666</v>
      </c>
      <c r="B110" s="53">
        <v>45921</v>
      </c>
      <c r="C110" s="1" t="s">
        <v>668</v>
      </c>
      <c r="D110" s="1" t="s">
        <v>54</v>
      </c>
      <c r="E110" s="1" t="s">
        <v>16</v>
      </c>
      <c r="F110" s="1" t="s">
        <v>37</v>
      </c>
      <c r="G110" s="1" t="s">
        <v>38</v>
      </c>
      <c r="H110" s="1">
        <v>5</v>
      </c>
      <c r="I110" s="54">
        <v>1896.84</v>
      </c>
      <c r="J110" s="55">
        <v>0.1</v>
      </c>
      <c r="K110" s="54">
        <v>814.22</v>
      </c>
      <c r="L110" s="54">
        <v>8535.78</v>
      </c>
      <c r="M110" s="54">
        <v>4071.1</v>
      </c>
      <c r="N110" s="54">
        <v>4464.68</v>
      </c>
      <c r="O110" s="1" t="s">
        <v>50</v>
      </c>
      <c r="P110" s="1" t="s">
        <v>707</v>
      </c>
      <c r="Q110" s="1">
        <f>IF(COUNTIF($C$4:C110,C110)=1,1,0)</f>
        <v>1</v>
      </c>
      <c r="R110" s="1">
        <f>IF(COUNTIFS($D$4:D110,D110,$C$4:C110,C110)=1,1,0)</f>
        <v>1</v>
      </c>
    </row>
    <row r="111" ht="15" customHeight="1" spans="1:18">
      <c r="A111" s="1" t="s">
        <v>685</v>
      </c>
      <c r="B111" s="53">
        <v>45921</v>
      </c>
      <c r="C111" s="1" t="s">
        <v>339</v>
      </c>
      <c r="D111" s="1" t="s">
        <v>54</v>
      </c>
      <c r="E111" s="1" t="s">
        <v>61</v>
      </c>
      <c r="F111" s="1" t="s">
        <v>106</v>
      </c>
      <c r="G111" s="1" t="s">
        <v>112</v>
      </c>
      <c r="H111" s="1">
        <v>12</v>
      </c>
      <c r="I111" s="54">
        <v>1871.89</v>
      </c>
      <c r="J111" s="55">
        <v>0.1</v>
      </c>
      <c r="K111" s="54">
        <v>917.68</v>
      </c>
      <c r="L111" s="54">
        <v>20216.41</v>
      </c>
      <c r="M111" s="54">
        <v>11012.16</v>
      </c>
      <c r="N111" s="54">
        <v>9204.25</v>
      </c>
      <c r="O111" s="1" t="s">
        <v>26</v>
      </c>
      <c r="P111" s="1" t="s">
        <v>707</v>
      </c>
      <c r="Q111" s="1">
        <f>IF(COUNTIF($C$4:C111,C111)=1,1,0)</f>
        <v>0</v>
      </c>
      <c r="R111" s="1">
        <f>IF(COUNTIFS($D$4:D111,D111,$C$4:C111,C111)=1,1,0)</f>
        <v>1</v>
      </c>
    </row>
    <row r="112" ht="15" customHeight="1" spans="1:18">
      <c r="A112" s="1" t="s">
        <v>221</v>
      </c>
      <c r="B112" s="53">
        <v>45926</v>
      </c>
      <c r="C112" s="1" t="s">
        <v>223</v>
      </c>
      <c r="D112" s="1" t="s">
        <v>54</v>
      </c>
      <c r="E112" s="1" t="s">
        <v>24</v>
      </c>
      <c r="F112" s="1" t="s">
        <v>25</v>
      </c>
      <c r="G112" s="1" t="s">
        <v>112</v>
      </c>
      <c r="H112" s="1">
        <v>1</v>
      </c>
      <c r="I112" s="54">
        <v>1541.96</v>
      </c>
      <c r="J112" s="55">
        <v>0</v>
      </c>
      <c r="K112" s="54">
        <v>664.43</v>
      </c>
      <c r="L112" s="54">
        <v>1541.96</v>
      </c>
      <c r="M112" s="54">
        <v>664.43</v>
      </c>
      <c r="N112" s="54">
        <v>877.53</v>
      </c>
      <c r="O112" s="1" t="s">
        <v>136</v>
      </c>
      <c r="P112" s="1" t="s">
        <v>707</v>
      </c>
      <c r="Q112" s="1">
        <f>IF(COUNTIF($C$4:C112,C112)=1,1,0)</f>
        <v>1</v>
      </c>
      <c r="R112" s="1">
        <f>IF(COUNTIFS($D$4:D112,D112,$C$4:C112,C112)=1,1,0)</f>
        <v>1</v>
      </c>
    </row>
    <row r="113" ht="15" customHeight="1" spans="1:18">
      <c r="A113" s="1" t="s">
        <v>606</v>
      </c>
      <c r="B113" s="53">
        <v>45928</v>
      </c>
      <c r="C113" s="1" t="s">
        <v>695</v>
      </c>
      <c r="D113" s="1" t="s">
        <v>41</v>
      </c>
      <c r="E113" s="1" t="s">
        <v>16</v>
      </c>
      <c r="F113" s="1" t="s">
        <v>174</v>
      </c>
      <c r="G113" s="1" t="s">
        <v>57</v>
      </c>
      <c r="H113" s="1">
        <v>9</v>
      </c>
      <c r="I113" s="54">
        <v>859.96</v>
      </c>
      <c r="J113" s="55">
        <v>0</v>
      </c>
      <c r="K113" s="54">
        <v>352.72</v>
      </c>
      <c r="L113" s="54">
        <v>7739.64</v>
      </c>
      <c r="M113" s="54">
        <v>3174.48</v>
      </c>
      <c r="N113" s="54">
        <v>4565.16</v>
      </c>
      <c r="O113" s="1" t="s">
        <v>50</v>
      </c>
      <c r="P113" s="1" t="s">
        <v>707</v>
      </c>
      <c r="Q113" s="1">
        <f>IF(COUNTIF($C$4:C113,C113)=1,1,0)</f>
        <v>0</v>
      </c>
      <c r="R113" s="1">
        <f>IF(COUNTIFS($D$4:D113,D113,$C$4:C113,C113)=1,1,0)</f>
        <v>0</v>
      </c>
    </row>
    <row r="114" ht="15" customHeight="1" spans="1:18">
      <c r="A114" s="1" t="s">
        <v>333</v>
      </c>
      <c r="B114" s="53">
        <v>45931</v>
      </c>
      <c r="C114" s="1" t="s">
        <v>284</v>
      </c>
      <c r="D114" s="1" t="s">
        <v>80</v>
      </c>
      <c r="E114" s="1" t="s">
        <v>42</v>
      </c>
      <c r="F114" s="1" t="s">
        <v>158</v>
      </c>
      <c r="G114" s="1" t="s">
        <v>38</v>
      </c>
      <c r="H114" s="1">
        <v>9</v>
      </c>
      <c r="I114" s="54">
        <v>798.06</v>
      </c>
      <c r="J114" s="55">
        <v>0</v>
      </c>
      <c r="K114" s="54">
        <v>367.45</v>
      </c>
      <c r="L114" s="54">
        <v>7182.54</v>
      </c>
      <c r="M114" s="54">
        <v>3307.05</v>
      </c>
      <c r="N114" s="54">
        <v>3875.49</v>
      </c>
      <c r="O114" s="1" t="s">
        <v>32</v>
      </c>
      <c r="P114" s="1" t="s">
        <v>708</v>
      </c>
      <c r="Q114" s="1">
        <f>IF(COUNTIF($C$4:C114,C114)=1,1,0)</f>
        <v>1</v>
      </c>
      <c r="R114" s="1">
        <f>IF(COUNTIFS($D$4:D114,D114,$C$4:C114,C114)=1,1,0)</f>
        <v>1</v>
      </c>
    </row>
    <row r="115" ht="15" customHeight="1" spans="1:18">
      <c r="A115" s="1" t="s">
        <v>412</v>
      </c>
      <c r="B115" s="53">
        <v>45934</v>
      </c>
      <c r="C115" s="1" t="s">
        <v>695</v>
      </c>
      <c r="D115" s="1" t="s">
        <v>80</v>
      </c>
      <c r="E115" s="1" t="s">
        <v>42</v>
      </c>
      <c r="F115" s="1" t="s">
        <v>146</v>
      </c>
      <c r="G115" s="1" t="s">
        <v>90</v>
      </c>
      <c r="H115" s="1">
        <v>2</v>
      </c>
      <c r="I115" s="54">
        <v>323.42</v>
      </c>
      <c r="J115" s="55">
        <v>0</v>
      </c>
      <c r="K115" s="54">
        <v>154.29</v>
      </c>
      <c r="L115" s="54">
        <v>646.84</v>
      </c>
      <c r="M115" s="54">
        <v>308.58</v>
      </c>
      <c r="N115" s="54">
        <v>338.26</v>
      </c>
      <c r="O115" s="1" t="s">
        <v>19</v>
      </c>
      <c r="P115" s="1" t="s">
        <v>708</v>
      </c>
      <c r="Q115" s="1">
        <f>IF(COUNTIF($C$4:C115,C115)=1,1,0)</f>
        <v>0</v>
      </c>
      <c r="R115" s="1">
        <f>IF(COUNTIFS($D$4:D115,D115,$C$4:C115,C115)=1,1,0)</f>
        <v>0</v>
      </c>
    </row>
    <row r="116" ht="15" customHeight="1" spans="1:18">
      <c r="A116" s="1" t="s">
        <v>91</v>
      </c>
      <c r="B116" s="53">
        <v>45936</v>
      </c>
      <c r="C116" s="1" t="s">
        <v>93</v>
      </c>
      <c r="D116" s="1" t="s">
        <v>41</v>
      </c>
      <c r="E116" s="1" t="s">
        <v>61</v>
      </c>
      <c r="F116" s="1" t="s">
        <v>94</v>
      </c>
      <c r="G116" s="1" t="s">
        <v>31</v>
      </c>
      <c r="H116" s="1">
        <v>2</v>
      </c>
      <c r="I116" s="54">
        <v>4480.65</v>
      </c>
      <c r="J116" s="55">
        <v>0</v>
      </c>
      <c r="K116" s="54">
        <v>2623.89</v>
      </c>
      <c r="L116" s="54">
        <v>8961.3</v>
      </c>
      <c r="M116" s="54">
        <v>5247.78</v>
      </c>
      <c r="N116" s="54">
        <v>3713.52</v>
      </c>
      <c r="O116" s="1" t="s">
        <v>32</v>
      </c>
      <c r="P116" s="1" t="s">
        <v>708</v>
      </c>
      <c r="Q116" s="1">
        <f>IF(COUNTIF($C$4:C116,C116)=1,1,0)</f>
        <v>1</v>
      </c>
      <c r="R116" s="1">
        <f>IF(COUNTIFS($D$4:D116,D116,$C$4:C116,C116)=1,1,0)</f>
        <v>1</v>
      </c>
    </row>
    <row r="117" ht="15" customHeight="1" spans="1:18">
      <c r="A117" s="1" t="s">
        <v>638</v>
      </c>
      <c r="B117" s="53">
        <v>45938</v>
      </c>
      <c r="C117" s="1" t="s">
        <v>640</v>
      </c>
      <c r="D117" s="1" t="s">
        <v>54</v>
      </c>
      <c r="E117" s="1" t="s">
        <v>42</v>
      </c>
      <c r="F117" s="1" t="s">
        <v>85</v>
      </c>
      <c r="G117" s="1" t="s">
        <v>57</v>
      </c>
      <c r="H117" s="1">
        <v>6</v>
      </c>
      <c r="I117" s="54">
        <v>784.16</v>
      </c>
      <c r="J117" s="55">
        <v>0.15</v>
      </c>
      <c r="K117" s="54">
        <v>503.52</v>
      </c>
      <c r="L117" s="54">
        <v>3999.22</v>
      </c>
      <c r="M117" s="54">
        <v>3021.12</v>
      </c>
      <c r="N117" s="54">
        <v>978.1</v>
      </c>
      <c r="O117" s="1" t="s">
        <v>50</v>
      </c>
      <c r="P117" s="1" t="s">
        <v>708</v>
      </c>
      <c r="Q117" s="1">
        <f>IF(COUNTIF($C$4:C117,C117)=1,1,0)</f>
        <v>1</v>
      </c>
      <c r="R117" s="1">
        <f>IF(COUNTIFS($D$4:D117,D117,$C$4:C117,C117)=1,1,0)</f>
        <v>1</v>
      </c>
    </row>
    <row r="118" ht="15" customHeight="1" spans="1:18">
      <c r="A118" s="1" t="s">
        <v>442</v>
      </c>
      <c r="B118" s="53">
        <v>45939</v>
      </c>
      <c r="C118" s="1" t="s">
        <v>444</v>
      </c>
      <c r="D118" s="1" t="s">
        <v>54</v>
      </c>
      <c r="E118" s="1" t="s">
        <v>42</v>
      </c>
      <c r="F118" s="1" t="s">
        <v>158</v>
      </c>
      <c r="G118" s="1" t="s">
        <v>38</v>
      </c>
      <c r="H118" s="1">
        <v>1</v>
      </c>
      <c r="I118" s="54">
        <v>4039.64</v>
      </c>
      <c r="J118" s="55">
        <v>0</v>
      </c>
      <c r="K118" s="54">
        <v>1838.57</v>
      </c>
      <c r="L118" s="54">
        <v>4039.64</v>
      </c>
      <c r="M118" s="54">
        <v>1838.57</v>
      </c>
      <c r="N118" s="54">
        <v>2201.07</v>
      </c>
      <c r="O118" s="1" t="s">
        <v>44</v>
      </c>
      <c r="P118" s="1" t="s">
        <v>708</v>
      </c>
      <c r="Q118" s="1">
        <f>IF(COUNTIF($C$4:C118,C118)=1,1,0)</f>
        <v>1</v>
      </c>
      <c r="R118" s="1">
        <f>IF(COUNTIFS($D$4:D118,D118,$C$4:C118,C118)=1,1,0)</f>
        <v>1</v>
      </c>
    </row>
    <row r="119" ht="15" customHeight="1" spans="1:18">
      <c r="A119" s="1" t="s">
        <v>538</v>
      </c>
      <c r="B119" s="53">
        <v>45940</v>
      </c>
      <c r="C119" s="1" t="s">
        <v>540</v>
      </c>
      <c r="D119" s="1" t="s">
        <v>48</v>
      </c>
      <c r="E119" s="1" t="s">
        <v>42</v>
      </c>
      <c r="F119" s="1" t="s">
        <v>146</v>
      </c>
      <c r="G119" s="1" t="s">
        <v>57</v>
      </c>
      <c r="H119" s="1">
        <v>8</v>
      </c>
      <c r="I119" s="54">
        <v>2987.51</v>
      </c>
      <c r="J119" s="55">
        <v>0</v>
      </c>
      <c r="K119" s="54">
        <v>1548.31</v>
      </c>
      <c r="L119" s="54">
        <v>23900.08</v>
      </c>
      <c r="M119" s="54">
        <v>12386.48</v>
      </c>
      <c r="N119" s="54">
        <v>11513.6</v>
      </c>
      <c r="O119" s="1" t="s">
        <v>50</v>
      </c>
      <c r="P119" s="1" t="s">
        <v>708</v>
      </c>
      <c r="Q119" s="1">
        <f>IF(COUNTIF($C$4:C119,C119)=1,1,0)</f>
        <v>1</v>
      </c>
      <c r="R119" s="1">
        <f>IF(COUNTIFS($D$4:D119,D119,$C$4:C119,C119)=1,1,0)</f>
        <v>1</v>
      </c>
    </row>
    <row r="120" ht="15" customHeight="1" spans="1:18">
      <c r="A120" s="1" t="s">
        <v>392</v>
      </c>
      <c r="B120" s="53">
        <v>45947</v>
      </c>
      <c r="C120" s="1" t="s">
        <v>173</v>
      </c>
      <c r="D120" s="1" t="s">
        <v>30</v>
      </c>
      <c r="E120" s="1" t="s">
        <v>42</v>
      </c>
      <c r="F120" s="1" t="s">
        <v>158</v>
      </c>
      <c r="G120" s="1" t="s">
        <v>57</v>
      </c>
      <c r="H120" s="1">
        <v>4</v>
      </c>
      <c r="I120" s="54">
        <v>2163.17</v>
      </c>
      <c r="J120" s="55">
        <v>0</v>
      </c>
      <c r="K120" s="54">
        <v>994.7</v>
      </c>
      <c r="L120" s="54">
        <v>8652.68</v>
      </c>
      <c r="M120" s="54">
        <v>3978.8</v>
      </c>
      <c r="N120" s="54">
        <v>4673.88</v>
      </c>
      <c r="O120" s="1" t="s">
        <v>50</v>
      </c>
      <c r="P120" s="1" t="s">
        <v>708</v>
      </c>
      <c r="Q120" s="1">
        <f>IF(COUNTIF($C$4:C120,C120)=1,1,0)</f>
        <v>1</v>
      </c>
      <c r="R120" s="1">
        <f>IF(COUNTIFS($D$4:D120,D120,$C$4:C120,C120)=1,1,0)</f>
        <v>1</v>
      </c>
    </row>
    <row r="121" ht="15" customHeight="1" spans="1:18">
      <c r="A121" s="1" t="s">
        <v>484</v>
      </c>
      <c r="B121" s="53">
        <v>45947</v>
      </c>
      <c r="C121" s="1" t="s">
        <v>208</v>
      </c>
      <c r="D121" s="1" t="s">
        <v>41</v>
      </c>
      <c r="E121" s="1" t="s">
        <v>16</v>
      </c>
      <c r="F121" s="1" t="s">
        <v>174</v>
      </c>
      <c r="G121" s="1" t="s">
        <v>38</v>
      </c>
      <c r="H121" s="1">
        <v>1</v>
      </c>
      <c r="I121" s="54">
        <v>4783.17</v>
      </c>
      <c r="J121" s="55">
        <v>0.05</v>
      </c>
      <c r="K121" s="54">
        <v>1995.69</v>
      </c>
      <c r="L121" s="54">
        <v>4544.01</v>
      </c>
      <c r="M121" s="54">
        <v>1995.69</v>
      </c>
      <c r="N121" s="54">
        <v>2548.32</v>
      </c>
      <c r="O121" s="1" t="s">
        <v>19</v>
      </c>
      <c r="P121" s="1" t="s">
        <v>708</v>
      </c>
      <c r="Q121" s="1">
        <f>IF(COUNTIF($C$4:C121,C121)=1,1,0)</f>
        <v>0</v>
      </c>
      <c r="R121" s="1">
        <f>IF(COUNTIFS($D$4:D121,D121,$C$4:C121,C121)=1,1,0)</f>
        <v>1</v>
      </c>
    </row>
    <row r="122" ht="15" customHeight="1" spans="1:18">
      <c r="A122" s="1" t="s">
        <v>665</v>
      </c>
      <c r="B122" s="53">
        <v>45949</v>
      </c>
      <c r="C122" s="1" t="s">
        <v>101</v>
      </c>
      <c r="D122" s="1" t="s">
        <v>30</v>
      </c>
      <c r="E122" s="1" t="s">
        <v>42</v>
      </c>
      <c r="F122" s="1" t="s">
        <v>43</v>
      </c>
      <c r="G122" s="1" t="s">
        <v>18</v>
      </c>
      <c r="H122" s="1">
        <v>9</v>
      </c>
      <c r="I122" s="54">
        <v>371.22</v>
      </c>
      <c r="J122" s="55">
        <v>0</v>
      </c>
      <c r="K122" s="54">
        <v>213.79</v>
      </c>
      <c r="L122" s="54">
        <v>3340.98</v>
      </c>
      <c r="M122" s="54">
        <v>1924.11</v>
      </c>
      <c r="N122" s="54">
        <v>1416.87</v>
      </c>
      <c r="O122" s="1" t="s">
        <v>50</v>
      </c>
      <c r="P122" s="1" t="s">
        <v>708</v>
      </c>
      <c r="Q122" s="1">
        <f>IF(COUNTIF($C$4:C122,C122)=1,1,0)</f>
        <v>1</v>
      </c>
      <c r="R122" s="1">
        <f>IF(COUNTIFS($D$4:D122,D122,$C$4:C122,C122)=1,1,0)</f>
        <v>1</v>
      </c>
    </row>
    <row r="123" ht="15" customHeight="1" spans="1:18">
      <c r="A123" s="1" t="s">
        <v>282</v>
      </c>
      <c r="B123" s="53">
        <v>45949</v>
      </c>
      <c r="C123" s="1" t="s">
        <v>284</v>
      </c>
      <c r="D123" s="1" t="s">
        <v>48</v>
      </c>
      <c r="E123" s="1" t="s">
        <v>24</v>
      </c>
      <c r="F123" s="1" t="s">
        <v>116</v>
      </c>
      <c r="G123" s="1" t="s">
        <v>90</v>
      </c>
      <c r="H123" s="1">
        <v>7</v>
      </c>
      <c r="I123" s="54">
        <v>2011.21</v>
      </c>
      <c r="J123" s="55">
        <v>0.05</v>
      </c>
      <c r="K123" s="54">
        <v>1166.29</v>
      </c>
      <c r="L123" s="54">
        <v>13374.55</v>
      </c>
      <c r="M123" s="54">
        <v>8164.03</v>
      </c>
      <c r="N123" s="54">
        <v>5210.52</v>
      </c>
      <c r="O123" s="1" t="s">
        <v>50</v>
      </c>
      <c r="P123" s="1" t="s">
        <v>708</v>
      </c>
      <c r="Q123" s="1">
        <f>IF(COUNTIF($C$4:C123,C123)=1,1,0)</f>
        <v>0</v>
      </c>
      <c r="R123" s="1">
        <f>IF(COUNTIFS($D$4:D123,D123,$C$4:C123,C123)=1,1,0)</f>
        <v>1</v>
      </c>
    </row>
    <row r="124" ht="15" customHeight="1" spans="1:18">
      <c r="A124" s="1" t="s">
        <v>598</v>
      </c>
      <c r="B124" s="53">
        <v>45950</v>
      </c>
      <c r="C124" s="1" t="s">
        <v>600</v>
      </c>
      <c r="D124" s="1" t="s">
        <v>30</v>
      </c>
      <c r="E124" s="1" t="s">
        <v>16</v>
      </c>
      <c r="F124" s="1" t="s">
        <v>102</v>
      </c>
      <c r="G124" s="1" t="s">
        <v>112</v>
      </c>
      <c r="H124" s="1">
        <v>10</v>
      </c>
      <c r="I124" s="54">
        <v>2981</v>
      </c>
      <c r="J124" s="55">
        <v>0.05</v>
      </c>
      <c r="K124" s="54">
        <v>1689.6</v>
      </c>
      <c r="L124" s="54">
        <v>28319.5</v>
      </c>
      <c r="M124" s="54">
        <v>16896</v>
      </c>
      <c r="N124" s="54">
        <v>11423.5</v>
      </c>
      <c r="O124" s="1" t="s">
        <v>19</v>
      </c>
      <c r="P124" s="1" t="s">
        <v>708</v>
      </c>
      <c r="Q124" s="1">
        <f>IF(COUNTIF($C$4:C124,C124)=1,1,0)</f>
        <v>1</v>
      </c>
      <c r="R124" s="1">
        <f>IF(COUNTIFS($D$4:D124,D124,$C$4:C124,C124)=1,1,0)</f>
        <v>1</v>
      </c>
    </row>
    <row r="125" ht="15" customHeight="1" spans="1:18">
      <c r="A125" s="1" t="s">
        <v>268</v>
      </c>
      <c r="B125" s="53">
        <v>45951</v>
      </c>
      <c r="C125" s="1" t="s">
        <v>139</v>
      </c>
      <c r="D125" s="1" t="s">
        <v>54</v>
      </c>
      <c r="E125" s="1" t="s">
        <v>61</v>
      </c>
      <c r="F125" s="1" t="s">
        <v>120</v>
      </c>
      <c r="G125" s="1" t="s">
        <v>31</v>
      </c>
      <c r="H125" s="1">
        <v>8</v>
      </c>
      <c r="I125" s="54">
        <v>2423</v>
      </c>
      <c r="J125" s="55">
        <v>0.2</v>
      </c>
      <c r="K125" s="54">
        <v>1003.66</v>
      </c>
      <c r="L125" s="54">
        <v>15507.2</v>
      </c>
      <c r="M125" s="54">
        <v>8029.28</v>
      </c>
      <c r="N125" s="54">
        <v>7477.92</v>
      </c>
      <c r="O125" s="1" t="s">
        <v>19</v>
      </c>
      <c r="P125" s="1" t="s">
        <v>708</v>
      </c>
      <c r="Q125" s="1">
        <f>IF(COUNTIF($C$4:C125,C125)=1,1,0)</f>
        <v>0</v>
      </c>
      <c r="R125" s="1">
        <f>IF(COUNTIFS($D$4:D125,D125,$C$4:C125,C125)=1,1,0)</f>
        <v>1</v>
      </c>
    </row>
    <row r="126" ht="15" customHeight="1" spans="1:18">
      <c r="A126" s="1" t="s">
        <v>351</v>
      </c>
      <c r="B126" s="53">
        <v>45953</v>
      </c>
      <c r="C126" s="1" t="s">
        <v>353</v>
      </c>
      <c r="D126" s="1" t="s">
        <v>48</v>
      </c>
      <c r="E126" s="1" t="s">
        <v>61</v>
      </c>
      <c r="F126" s="1" t="s">
        <v>120</v>
      </c>
      <c r="G126" s="1" t="s">
        <v>18</v>
      </c>
      <c r="H126" s="1">
        <v>4</v>
      </c>
      <c r="I126" s="54">
        <v>1610.33</v>
      </c>
      <c r="J126" s="55">
        <v>0</v>
      </c>
      <c r="K126" s="54">
        <v>764.3</v>
      </c>
      <c r="L126" s="54">
        <v>6441.32</v>
      </c>
      <c r="M126" s="54">
        <v>3057.2</v>
      </c>
      <c r="N126" s="54">
        <v>3384.12</v>
      </c>
      <c r="O126" s="1" t="s">
        <v>136</v>
      </c>
      <c r="P126" s="1" t="s">
        <v>708</v>
      </c>
      <c r="Q126" s="1">
        <f>IF(COUNTIF($C$4:C126,C126)=1,1,0)</f>
        <v>0</v>
      </c>
      <c r="R126" s="1">
        <f>IF(COUNTIFS($D$4:D126,D126,$C$4:C126,C126)=1,1,0)</f>
        <v>1</v>
      </c>
    </row>
    <row r="127" ht="15" customHeight="1" spans="1:18">
      <c r="A127" s="1" t="s">
        <v>420</v>
      </c>
      <c r="B127" s="53">
        <v>45956</v>
      </c>
      <c r="C127" s="1" t="s">
        <v>123</v>
      </c>
      <c r="D127" s="1" t="s">
        <v>30</v>
      </c>
      <c r="E127" s="1" t="s">
        <v>24</v>
      </c>
      <c r="F127" s="1" t="s">
        <v>116</v>
      </c>
      <c r="G127" s="1" t="s">
        <v>90</v>
      </c>
      <c r="H127" s="1">
        <v>12</v>
      </c>
      <c r="I127" s="54">
        <v>2468.62</v>
      </c>
      <c r="J127" s="55">
        <v>0.05</v>
      </c>
      <c r="K127" s="54">
        <v>1424.62</v>
      </c>
      <c r="L127" s="54">
        <v>28142.27</v>
      </c>
      <c r="M127" s="54">
        <v>17095.44</v>
      </c>
      <c r="N127" s="54">
        <v>11046.83</v>
      </c>
      <c r="O127" s="1" t="s">
        <v>26</v>
      </c>
      <c r="P127" s="1" t="s">
        <v>708</v>
      </c>
      <c r="Q127" s="1">
        <f>IF(COUNTIF($C$4:C127,C127)=1,1,0)</f>
        <v>1</v>
      </c>
      <c r="R127" s="1">
        <f>IF(COUNTIFS($D$4:D127,D127,$C$4:C127,C127)=1,1,0)</f>
        <v>1</v>
      </c>
    </row>
    <row r="128" ht="15" customHeight="1" spans="1:18">
      <c r="A128" s="1" t="s">
        <v>501</v>
      </c>
      <c r="B128" s="53">
        <v>45960</v>
      </c>
      <c r="C128" s="1" t="s">
        <v>502</v>
      </c>
      <c r="D128" s="1" t="s">
        <v>80</v>
      </c>
      <c r="E128" s="1" t="s">
        <v>55</v>
      </c>
      <c r="F128" s="1" t="s">
        <v>66</v>
      </c>
      <c r="G128" s="1" t="s">
        <v>112</v>
      </c>
      <c r="H128" s="1">
        <v>3</v>
      </c>
      <c r="I128" s="54">
        <v>461.85</v>
      </c>
      <c r="J128" s="55">
        <v>0</v>
      </c>
      <c r="K128" s="54">
        <v>256.23</v>
      </c>
      <c r="L128" s="54">
        <v>1385.55</v>
      </c>
      <c r="M128" s="54">
        <v>768.69</v>
      </c>
      <c r="N128" s="54">
        <v>616.86</v>
      </c>
      <c r="O128" s="1" t="s">
        <v>50</v>
      </c>
      <c r="P128" s="1" t="s">
        <v>708</v>
      </c>
      <c r="Q128" s="1">
        <f>IF(COUNTIF($C$4:C128,C128)=1,1,0)</f>
        <v>1</v>
      </c>
      <c r="R128" s="1">
        <f>IF(COUNTIFS($D$4:D128,D128,$C$4:C128,C128)=1,1,0)</f>
        <v>1</v>
      </c>
    </row>
    <row r="129" ht="15" customHeight="1" spans="1:18">
      <c r="A129" s="1" t="s">
        <v>212</v>
      </c>
      <c r="B129" s="53">
        <v>45960</v>
      </c>
      <c r="C129" s="1" t="s">
        <v>214</v>
      </c>
      <c r="D129" s="1" t="s">
        <v>48</v>
      </c>
      <c r="E129" s="1" t="s">
        <v>55</v>
      </c>
      <c r="F129" s="1" t="s">
        <v>141</v>
      </c>
      <c r="G129" s="1" t="s">
        <v>90</v>
      </c>
      <c r="H129" s="1">
        <v>4</v>
      </c>
      <c r="I129" s="54">
        <v>2091.41</v>
      </c>
      <c r="J129" s="55">
        <v>0</v>
      </c>
      <c r="K129" s="54">
        <v>1024.25</v>
      </c>
      <c r="L129" s="54">
        <v>8365.64</v>
      </c>
      <c r="M129" s="54">
        <v>4097</v>
      </c>
      <c r="N129" s="54">
        <v>4268.64</v>
      </c>
      <c r="O129" s="1" t="s">
        <v>136</v>
      </c>
      <c r="P129" s="1" t="s">
        <v>708</v>
      </c>
      <c r="Q129" s="1">
        <f>IF(COUNTIF($C$4:C129,C129)=1,1,0)</f>
        <v>1</v>
      </c>
      <c r="R129" s="1">
        <f>IF(COUNTIFS($D$4:D129,D129,$C$4:C129,C129)=1,1,0)</f>
        <v>1</v>
      </c>
    </row>
    <row r="130" ht="15" customHeight="1" spans="1:18">
      <c r="A130" s="1" t="s">
        <v>620</v>
      </c>
      <c r="B130" s="53">
        <v>45960</v>
      </c>
      <c r="C130" s="1" t="s">
        <v>295</v>
      </c>
      <c r="D130" s="1" t="s">
        <v>41</v>
      </c>
      <c r="E130" s="1" t="s">
        <v>16</v>
      </c>
      <c r="F130" s="1" t="s">
        <v>49</v>
      </c>
      <c r="G130" s="1" t="s">
        <v>38</v>
      </c>
      <c r="H130" s="1">
        <v>4</v>
      </c>
      <c r="I130" s="54">
        <v>939.99</v>
      </c>
      <c r="J130" s="55">
        <v>0.2</v>
      </c>
      <c r="K130" s="54">
        <v>467.88</v>
      </c>
      <c r="L130" s="54">
        <v>3007.97</v>
      </c>
      <c r="M130" s="54">
        <v>1871.52</v>
      </c>
      <c r="N130" s="54">
        <v>1136.45</v>
      </c>
      <c r="O130" s="1" t="s">
        <v>136</v>
      </c>
      <c r="P130" s="1" t="s">
        <v>708</v>
      </c>
      <c r="Q130" s="1">
        <f>IF(COUNTIF($C$4:C130,C130)=1,1,0)</f>
        <v>0</v>
      </c>
      <c r="R130" s="1">
        <f>IF(COUNTIFS($D$4:D130,D130,$C$4:C130,C130)=1,1,0)</f>
        <v>0</v>
      </c>
    </row>
    <row r="131" ht="15" customHeight="1" spans="1:18">
      <c r="A131" s="1" t="s">
        <v>476</v>
      </c>
      <c r="B131" s="53">
        <v>45974</v>
      </c>
      <c r="C131" s="1" t="s">
        <v>478</v>
      </c>
      <c r="D131" s="1" t="s">
        <v>41</v>
      </c>
      <c r="E131" s="1" t="s">
        <v>55</v>
      </c>
      <c r="F131" s="1" t="s">
        <v>154</v>
      </c>
      <c r="G131" s="1" t="s">
        <v>90</v>
      </c>
      <c r="H131" s="1">
        <v>7</v>
      </c>
      <c r="I131" s="54">
        <v>844.14</v>
      </c>
      <c r="J131" s="55">
        <v>0</v>
      </c>
      <c r="K131" s="54">
        <v>466.87</v>
      </c>
      <c r="L131" s="54">
        <v>5908.98</v>
      </c>
      <c r="M131" s="54">
        <v>3268.09</v>
      </c>
      <c r="N131" s="54">
        <v>2640.89</v>
      </c>
      <c r="O131" s="1" t="s">
        <v>19</v>
      </c>
      <c r="P131" s="1" t="s">
        <v>709</v>
      </c>
      <c r="Q131" s="1">
        <f>IF(COUNTIF($C$4:C131,C131)=1,1,0)</f>
        <v>1</v>
      </c>
      <c r="R131" s="1">
        <f>IF(COUNTIFS($D$4:D131,D131,$C$4:C131,C131)=1,1,0)</f>
        <v>1</v>
      </c>
    </row>
    <row r="132" ht="15" customHeight="1" spans="1:18">
      <c r="A132" s="1" t="s">
        <v>474</v>
      </c>
      <c r="B132" s="53">
        <v>45975</v>
      </c>
      <c r="C132" s="1" t="s">
        <v>272</v>
      </c>
      <c r="D132" s="1" t="s">
        <v>54</v>
      </c>
      <c r="E132" s="1" t="s">
        <v>42</v>
      </c>
      <c r="F132" s="1" t="s">
        <v>43</v>
      </c>
      <c r="G132" s="1" t="s">
        <v>57</v>
      </c>
      <c r="H132" s="1">
        <v>9</v>
      </c>
      <c r="I132" s="54">
        <v>2825.98</v>
      </c>
      <c r="J132" s="55">
        <v>0</v>
      </c>
      <c r="K132" s="54">
        <v>1238.26</v>
      </c>
      <c r="L132" s="54">
        <v>25433.82</v>
      </c>
      <c r="M132" s="54">
        <v>11144.34</v>
      </c>
      <c r="N132" s="54">
        <v>14289.48</v>
      </c>
      <c r="O132" s="1" t="s">
        <v>32</v>
      </c>
      <c r="P132" s="1" t="s">
        <v>709</v>
      </c>
      <c r="Q132" s="1">
        <f>IF(COUNTIF($C$4:C132,C132)=1,1,0)</f>
        <v>1</v>
      </c>
      <c r="R132" s="1">
        <f>IF(COUNTIFS($D$4:D132,D132,$C$4:C132,C132)=1,1,0)</f>
        <v>1</v>
      </c>
    </row>
    <row r="133" ht="15" customHeight="1" spans="1:18">
      <c r="A133" s="1" t="s">
        <v>578</v>
      </c>
      <c r="B133" s="53">
        <v>45979</v>
      </c>
      <c r="C133" s="1" t="s">
        <v>579</v>
      </c>
      <c r="D133" s="1" t="s">
        <v>48</v>
      </c>
      <c r="E133" s="1" t="s">
        <v>55</v>
      </c>
      <c r="F133" s="1" t="s">
        <v>141</v>
      </c>
      <c r="G133" s="1" t="s">
        <v>90</v>
      </c>
      <c r="H133" s="1">
        <v>7</v>
      </c>
      <c r="I133" s="54">
        <v>2370.23</v>
      </c>
      <c r="J133" s="55">
        <v>0.15</v>
      </c>
      <c r="K133" s="54">
        <v>985.62</v>
      </c>
      <c r="L133" s="54">
        <v>14102.87</v>
      </c>
      <c r="M133" s="54">
        <v>6899.34</v>
      </c>
      <c r="N133" s="54">
        <v>7203.53</v>
      </c>
      <c r="O133" s="1" t="s">
        <v>136</v>
      </c>
      <c r="P133" s="1" t="s">
        <v>709</v>
      </c>
      <c r="Q133" s="1">
        <f>IF(COUNTIF($C$4:C133,C133)=1,1,0)</f>
        <v>1</v>
      </c>
      <c r="R133" s="1">
        <f>IF(COUNTIFS($D$4:D133,D133,$C$4:C133,C133)=1,1,0)</f>
        <v>1</v>
      </c>
    </row>
    <row r="134" ht="15" customHeight="1" spans="1:18">
      <c r="A134" s="1" t="s">
        <v>77</v>
      </c>
      <c r="B134" s="53">
        <v>45979</v>
      </c>
      <c r="C134" s="1" t="s">
        <v>79</v>
      </c>
      <c r="D134" s="1" t="s">
        <v>80</v>
      </c>
      <c r="E134" s="1" t="s">
        <v>55</v>
      </c>
      <c r="F134" s="1" t="s">
        <v>81</v>
      </c>
      <c r="G134" s="1" t="s">
        <v>18</v>
      </c>
      <c r="H134" s="1">
        <v>1</v>
      </c>
      <c r="I134" s="54">
        <v>3021.15</v>
      </c>
      <c r="J134" s="55">
        <v>0.15</v>
      </c>
      <c r="K134" s="54">
        <v>1617.97</v>
      </c>
      <c r="L134" s="54">
        <v>2567.98</v>
      </c>
      <c r="M134" s="54">
        <v>1617.97</v>
      </c>
      <c r="N134" s="54">
        <v>950.01</v>
      </c>
      <c r="O134" s="1" t="s">
        <v>50</v>
      </c>
      <c r="P134" s="1" t="s">
        <v>709</v>
      </c>
      <c r="Q134" s="1">
        <f>IF(COUNTIF($C$4:C134,C134)=1,1,0)</f>
        <v>1</v>
      </c>
      <c r="R134" s="1">
        <f>IF(COUNTIFS($D$4:D134,D134,$C$4:C134,C134)=1,1,0)</f>
        <v>1</v>
      </c>
    </row>
    <row r="135" ht="15" customHeight="1" spans="1:18">
      <c r="A135" s="1" t="s">
        <v>673</v>
      </c>
      <c r="B135" s="53">
        <v>45980</v>
      </c>
      <c r="C135" s="1" t="s">
        <v>675</v>
      </c>
      <c r="D135" s="1" t="s">
        <v>30</v>
      </c>
      <c r="E135" s="1" t="s">
        <v>16</v>
      </c>
      <c r="F135" s="1" t="s">
        <v>49</v>
      </c>
      <c r="G135" s="1" t="s">
        <v>90</v>
      </c>
      <c r="H135" s="1">
        <v>9</v>
      </c>
      <c r="I135" s="54">
        <v>4801.57</v>
      </c>
      <c r="J135" s="55">
        <v>0</v>
      </c>
      <c r="K135" s="54">
        <v>2938.57</v>
      </c>
      <c r="L135" s="54">
        <v>43214.13</v>
      </c>
      <c r="M135" s="54">
        <v>26447.13</v>
      </c>
      <c r="N135" s="54">
        <v>16767</v>
      </c>
      <c r="O135" s="1" t="s">
        <v>50</v>
      </c>
      <c r="P135" s="1" t="s">
        <v>709</v>
      </c>
      <c r="Q135" s="1">
        <f>IF(COUNTIF($C$4:C135,C135)=1,1,0)</f>
        <v>1</v>
      </c>
      <c r="R135" s="1">
        <f>IF(COUNTIFS($D$4:D135,D135,$C$4:C135,C135)=1,1,0)</f>
        <v>1</v>
      </c>
    </row>
    <row r="136" ht="15" customHeight="1" spans="1:18">
      <c r="A136" s="1" t="s">
        <v>560</v>
      </c>
      <c r="B136" s="53">
        <v>45981</v>
      </c>
      <c r="C136" s="1" t="s">
        <v>695</v>
      </c>
      <c r="D136" s="1" t="s">
        <v>80</v>
      </c>
      <c r="E136" s="1" t="s">
        <v>55</v>
      </c>
      <c r="F136" s="1" t="s">
        <v>81</v>
      </c>
      <c r="G136" s="1" t="s">
        <v>112</v>
      </c>
      <c r="H136" s="1">
        <v>10</v>
      </c>
      <c r="I136" s="54">
        <v>4495.37</v>
      </c>
      <c r="J136" s="55">
        <v>0</v>
      </c>
      <c r="K136" s="54">
        <v>2906.99</v>
      </c>
      <c r="L136" s="54">
        <v>44953.7</v>
      </c>
      <c r="M136" s="54">
        <v>29069.9</v>
      </c>
      <c r="N136" s="54">
        <v>15883.8</v>
      </c>
      <c r="O136" s="1" t="s">
        <v>19</v>
      </c>
      <c r="P136" s="1" t="s">
        <v>709</v>
      </c>
      <c r="Q136" s="1">
        <f>IF(COUNTIF($C$4:C136,C136)=1,1,0)</f>
        <v>0</v>
      </c>
      <c r="R136" s="1">
        <f>IF(COUNTIFS($D$4:D136,D136,$C$4:C136,C136)=1,1,0)</f>
        <v>0</v>
      </c>
    </row>
    <row r="137" ht="15" customHeight="1" spans="1:18">
      <c r="A137" s="1" t="s">
        <v>521</v>
      </c>
      <c r="B137" s="53">
        <v>45984</v>
      </c>
      <c r="C137" s="1" t="s">
        <v>523</v>
      </c>
      <c r="D137" s="1" t="s">
        <v>41</v>
      </c>
      <c r="E137" s="1" t="s">
        <v>24</v>
      </c>
      <c r="F137" s="1" t="s">
        <v>116</v>
      </c>
      <c r="G137" s="1" t="s">
        <v>112</v>
      </c>
      <c r="H137" s="1">
        <v>2</v>
      </c>
      <c r="I137" s="54">
        <v>4055.21</v>
      </c>
      <c r="J137" s="55">
        <v>0</v>
      </c>
      <c r="K137" s="54">
        <v>1655.96</v>
      </c>
      <c r="L137" s="54">
        <v>8110.42</v>
      </c>
      <c r="M137" s="54">
        <v>3311.92</v>
      </c>
      <c r="N137" s="54">
        <v>4798.5</v>
      </c>
      <c r="O137" s="1" t="s">
        <v>19</v>
      </c>
      <c r="P137" s="1" t="s">
        <v>709</v>
      </c>
      <c r="Q137" s="1">
        <f>IF(COUNTIF($C$4:C137,C137)=1,1,0)</f>
        <v>1</v>
      </c>
      <c r="R137" s="1">
        <f>IF(COUNTIFS($D$4:D137,D137,$C$4:C137,C137)=1,1,0)</f>
        <v>1</v>
      </c>
    </row>
    <row r="138" ht="15" customHeight="1" spans="1:18">
      <c r="A138" s="1" t="s">
        <v>418</v>
      </c>
      <c r="B138" s="53">
        <v>45984</v>
      </c>
      <c r="C138" s="1" t="s">
        <v>220</v>
      </c>
      <c r="D138" s="1" t="s">
        <v>80</v>
      </c>
      <c r="E138" s="1" t="s">
        <v>55</v>
      </c>
      <c r="F138" s="1" t="s">
        <v>66</v>
      </c>
      <c r="G138" s="1" t="s">
        <v>38</v>
      </c>
      <c r="H138" s="1">
        <v>12</v>
      </c>
      <c r="I138" s="54">
        <v>1243</v>
      </c>
      <c r="J138" s="55">
        <v>0.05</v>
      </c>
      <c r="K138" s="54">
        <v>594.83</v>
      </c>
      <c r="L138" s="54">
        <v>14170.2</v>
      </c>
      <c r="M138" s="54">
        <v>7137.96</v>
      </c>
      <c r="N138" s="54">
        <v>7032.24</v>
      </c>
      <c r="O138" s="1" t="s">
        <v>136</v>
      </c>
      <c r="P138" s="1" t="s">
        <v>709</v>
      </c>
      <c r="Q138" s="1">
        <f>IF(COUNTIF($C$4:C138,C138)=1,1,0)</f>
        <v>1</v>
      </c>
      <c r="R138" s="1">
        <f>IF(COUNTIFS($D$4:D138,D138,$C$4:C138,C138)=1,1,0)</f>
        <v>1</v>
      </c>
    </row>
    <row r="139" ht="15" customHeight="1" spans="1:18">
      <c r="A139" s="1" t="s">
        <v>592</v>
      </c>
      <c r="B139" s="53">
        <v>45987</v>
      </c>
      <c r="C139" s="1" t="s">
        <v>594</v>
      </c>
      <c r="D139" s="1" t="s">
        <v>41</v>
      </c>
      <c r="E139" s="1" t="s">
        <v>55</v>
      </c>
      <c r="F139" s="1" t="s">
        <v>56</v>
      </c>
      <c r="G139" s="1" t="s">
        <v>57</v>
      </c>
      <c r="H139" s="1">
        <v>3</v>
      </c>
      <c r="I139" s="54">
        <v>785.7</v>
      </c>
      <c r="J139" s="55">
        <v>0.1</v>
      </c>
      <c r="K139" s="54">
        <v>443.43</v>
      </c>
      <c r="L139" s="54">
        <v>2121.39</v>
      </c>
      <c r="M139" s="54">
        <v>1330.29</v>
      </c>
      <c r="N139" s="54">
        <v>791.1</v>
      </c>
      <c r="O139" s="1" t="s">
        <v>26</v>
      </c>
      <c r="P139" s="1" t="s">
        <v>709</v>
      </c>
      <c r="Q139" s="1">
        <f>IF(COUNTIF($C$4:C139,C139)=1,1,0)</f>
        <v>1</v>
      </c>
      <c r="R139" s="1">
        <f>IF(COUNTIFS($D$4:D139,D139,$C$4:C139,C139)=1,1,0)</f>
        <v>1</v>
      </c>
    </row>
    <row r="140" ht="15" customHeight="1" spans="1:18">
      <c r="A140" s="1" t="s">
        <v>324</v>
      </c>
      <c r="B140" s="53">
        <v>45988</v>
      </c>
      <c r="C140" s="1" t="s">
        <v>326</v>
      </c>
      <c r="D140" s="1" t="s">
        <v>30</v>
      </c>
      <c r="E140" s="1" t="s">
        <v>55</v>
      </c>
      <c r="F140" s="1" t="s">
        <v>141</v>
      </c>
      <c r="G140" s="1" t="s">
        <v>90</v>
      </c>
      <c r="H140" s="1">
        <v>2</v>
      </c>
      <c r="I140" s="54">
        <v>2734.08</v>
      </c>
      <c r="J140" s="55">
        <v>0</v>
      </c>
      <c r="K140" s="54">
        <v>1301.51</v>
      </c>
      <c r="L140" s="54">
        <v>5468.16</v>
      </c>
      <c r="M140" s="54">
        <v>2603.02</v>
      </c>
      <c r="N140" s="54">
        <v>2865.14</v>
      </c>
      <c r="O140" s="1" t="s">
        <v>50</v>
      </c>
      <c r="P140" s="1" t="s">
        <v>709</v>
      </c>
      <c r="Q140" s="1">
        <f>IF(COUNTIF($C$4:C140,C140)=1,1,0)</f>
        <v>1</v>
      </c>
      <c r="R140" s="1">
        <f>IF(COUNTIFS($D$4:D140,D140,$C$4:C140,C140)=1,1,0)</f>
        <v>1</v>
      </c>
    </row>
    <row r="141" ht="15" customHeight="1" spans="1:18">
      <c r="A141" s="1" t="s">
        <v>550</v>
      </c>
      <c r="B141" s="53">
        <v>45990</v>
      </c>
      <c r="C141" s="1" t="s">
        <v>552</v>
      </c>
      <c r="D141" s="1" t="s">
        <v>80</v>
      </c>
      <c r="E141" s="1" t="s">
        <v>24</v>
      </c>
      <c r="F141" s="1" t="s">
        <v>131</v>
      </c>
      <c r="G141" s="1" t="s">
        <v>31</v>
      </c>
      <c r="H141" s="1">
        <v>11</v>
      </c>
      <c r="I141" s="54">
        <v>807.09</v>
      </c>
      <c r="J141" s="55">
        <v>0</v>
      </c>
      <c r="K141" s="54">
        <v>335.72</v>
      </c>
      <c r="L141" s="54">
        <v>8877.99</v>
      </c>
      <c r="M141" s="54">
        <v>3692.92</v>
      </c>
      <c r="N141" s="54">
        <v>5185.07</v>
      </c>
      <c r="O141" s="1" t="s">
        <v>136</v>
      </c>
      <c r="P141" s="1" t="s">
        <v>709</v>
      </c>
      <c r="Q141" s="1">
        <f>IF(COUNTIF($C$4:C141,C141)=1,1,0)</f>
        <v>1</v>
      </c>
      <c r="R141" s="1">
        <f>IF(COUNTIFS($D$4:D141,D141,$C$4:C141,C141)=1,1,0)</f>
        <v>1</v>
      </c>
    </row>
    <row r="142" ht="15" customHeight="1" spans="1:18">
      <c r="A142" s="1" t="s">
        <v>240</v>
      </c>
      <c r="B142" s="53">
        <v>45990</v>
      </c>
      <c r="C142" s="1" t="s">
        <v>242</v>
      </c>
      <c r="D142" s="1" t="s">
        <v>54</v>
      </c>
      <c r="E142" s="1" t="s">
        <v>24</v>
      </c>
      <c r="F142" s="1" t="s">
        <v>116</v>
      </c>
      <c r="G142" s="1" t="s">
        <v>18</v>
      </c>
      <c r="H142" s="1">
        <v>5</v>
      </c>
      <c r="I142" s="54">
        <v>3233.29</v>
      </c>
      <c r="J142" s="55">
        <v>0.15</v>
      </c>
      <c r="K142" s="54">
        <v>1766.48</v>
      </c>
      <c r="L142" s="54">
        <v>13741.48</v>
      </c>
      <c r="M142" s="54">
        <v>8832.4</v>
      </c>
      <c r="N142" s="54">
        <v>4909.08</v>
      </c>
      <c r="O142" s="1" t="s">
        <v>50</v>
      </c>
      <c r="P142" s="1" t="s">
        <v>709</v>
      </c>
      <c r="Q142" s="1">
        <f>IF(COUNTIF($C$4:C142,C142)=1,1,0)</f>
        <v>1</v>
      </c>
      <c r="R142" s="1">
        <f>IF(COUNTIFS($D$4:D142,D142,$C$4:C142,C142)=1,1,0)</f>
        <v>1</v>
      </c>
    </row>
    <row r="143" ht="15" customHeight="1" spans="1:18">
      <c r="A143" s="1" t="s">
        <v>276</v>
      </c>
      <c r="B143" s="53">
        <v>45994</v>
      </c>
      <c r="C143" s="1" t="s">
        <v>278</v>
      </c>
      <c r="D143" s="1" t="s">
        <v>30</v>
      </c>
      <c r="E143" s="1" t="s">
        <v>42</v>
      </c>
      <c r="F143" s="1" t="s">
        <v>158</v>
      </c>
      <c r="G143" s="1" t="s">
        <v>57</v>
      </c>
      <c r="H143" s="1">
        <v>2</v>
      </c>
      <c r="I143" s="54">
        <v>1754.03</v>
      </c>
      <c r="J143" s="55">
        <v>0.2</v>
      </c>
      <c r="K143" s="54">
        <v>866.79</v>
      </c>
      <c r="L143" s="54">
        <v>2806.45</v>
      </c>
      <c r="M143" s="54">
        <v>1733.58</v>
      </c>
      <c r="N143" s="54">
        <v>1072.87</v>
      </c>
      <c r="O143" s="1" t="s">
        <v>136</v>
      </c>
      <c r="P143" s="1" t="s">
        <v>710</v>
      </c>
      <c r="Q143" s="1">
        <f>IF(COUNTIF($C$4:C143,C143)=1,1,0)</f>
        <v>1</v>
      </c>
      <c r="R143" s="1">
        <f>IF(COUNTIFS($D$4:D143,D143,$C$4:C143,C143)=1,1,0)</f>
        <v>1</v>
      </c>
    </row>
    <row r="144" ht="15" customHeight="1" spans="1:18">
      <c r="A144" s="1" t="s">
        <v>573</v>
      </c>
      <c r="B144" s="53">
        <v>45994</v>
      </c>
      <c r="C144" s="1" t="s">
        <v>574</v>
      </c>
      <c r="D144" s="1" t="s">
        <v>54</v>
      </c>
      <c r="E144" s="1" t="s">
        <v>42</v>
      </c>
      <c r="F144" s="1" t="s">
        <v>85</v>
      </c>
      <c r="G144" s="1" t="s">
        <v>90</v>
      </c>
      <c r="H144" s="1">
        <v>1</v>
      </c>
      <c r="I144" s="54">
        <v>4303.39</v>
      </c>
      <c r="J144" s="55">
        <v>0</v>
      </c>
      <c r="K144" s="54">
        <v>2435.02</v>
      </c>
      <c r="L144" s="54">
        <v>4303.39</v>
      </c>
      <c r="M144" s="54">
        <v>2435.02</v>
      </c>
      <c r="N144" s="54">
        <v>1868.37</v>
      </c>
      <c r="O144" s="1" t="s">
        <v>26</v>
      </c>
      <c r="P144" s="1" t="s">
        <v>710</v>
      </c>
      <c r="Q144" s="1">
        <f>IF(COUNTIF($C$4:C144,C144)=1,1,0)</f>
        <v>1</v>
      </c>
      <c r="R144" s="1">
        <f>IF(COUNTIFS($D$4:D144,D144,$C$4:C144,C144)=1,1,0)</f>
        <v>1</v>
      </c>
    </row>
    <row r="145" ht="15" customHeight="1" spans="1:18">
      <c r="A145" s="1" t="s">
        <v>498</v>
      </c>
      <c r="B145" s="53">
        <v>45997</v>
      </c>
      <c r="C145" s="1" t="s">
        <v>500</v>
      </c>
      <c r="D145" s="1" t="s">
        <v>41</v>
      </c>
      <c r="E145" s="1" t="s">
        <v>16</v>
      </c>
      <c r="F145" s="1" t="s">
        <v>17</v>
      </c>
      <c r="G145" s="1" t="s">
        <v>57</v>
      </c>
      <c r="H145" s="1">
        <v>8</v>
      </c>
      <c r="I145" s="54">
        <v>4102.7</v>
      </c>
      <c r="J145" s="55">
        <v>0.2</v>
      </c>
      <c r="K145" s="54">
        <v>1735.42</v>
      </c>
      <c r="L145" s="54">
        <v>26257.28</v>
      </c>
      <c r="M145" s="54">
        <v>13883.36</v>
      </c>
      <c r="N145" s="54">
        <v>12373.92</v>
      </c>
      <c r="O145" s="1" t="s">
        <v>26</v>
      </c>
      <c r="P145" s="1" t="s">
        <v>710</v>
      </c>
      <c r="Q145" s="1">
        <f>IF(COUNTIF($C$4:C145,C145)=1,1,0)</f>
        <v>0</v>
      </c>
      <c r="R145" s="1">
        <f>IF(COUNTIFS($D$4:D145,D145,$C$4:C145,C145)=1,1,0)</f>
        <v>1</v>
      </c>
    </row>
    <row r="146" ht="15" customHeight="1" spans="1:18">
      <c r="A146" s="1" t="s">
        <v>121</v>
      </c>
      <c r="B146" s="53">
        <v>46001</v>
      </c>
      <c r="C146" s="1" t="s">
        <v>123</v>
      </c>
      <c r="D146" s="1" t="s">
        <v>41</v>
      </c>
      <c r="E146" s="1" t="s">
        <v>24</v>
      </c>
      <c r="F146" s="1" t="s">
        <v>124</v>
      </c>
      <c r="G146" s="1" t="s">
        <v>57</v>
      </c>
      <c r="H146" s="1">
        <v>2</v>
      </c>
      <c r="I146" s="54">
        <v>1632.8</v>
      </c>
      <c r="J146" s="55">
        <v>0.1</v>
      </c>
      <c r="K146" s="54">
        <v>924.11</v>
      </c>
      <c r="L146" s="54">
        <v>2939.04</v>
      </c>
      <c r="M146" s="54">
        <v>1848.22</v>
      </c>
      <c r="N146" s="54">
        <v>1090.82</v>
      </c>
      <c r="O146" s="1" t="s">
        <v>32</v>
      </c>
      <c r="P146" s="1" t="s">
        <v>710</v>
      </c>
      <c r="Q146" s="1">
        <f>IF(COUNTIF($C$4:C146,C146)=1,1,0)</f>
        <v>0</v>
      </c>
      <c r="R146" s="1">
        <f>IF(COUNTIFS($D$4:D146,D146,$C$4:C146,C146)=1,1,0)</f>
        <v>1</v>
      </c>
    </row>
    <row r="147" ht="15" customHeight="1" spans="1:18">
      <c r="A147" s="1" t="s">
        <v>344</v>
      </c>
      <c r="B147" s="53">
        <v>46002</v>
      </c>
      <c r="C147" s="1" t="s">
        <v>345</v>
      </c>
      <c r="D147" s="1" t="s">
        <v>80</v>
      </c>
      <c r="E147" s="1" t="s">
        <v>61</v>
      </c>
      <c r="F147" s="1" t="s">
        <v>120</v>
      </c>
      <c r="G147" s="1" t="s">
        <v>18</v>
      </c>
      <c r="H147" s="1">
        <v>7</v>
      </c>
      <c r="I147" s="54">
        <v>4954.89</v>
      </c>
      <c r="J147" s="55">
        <v>0</v>
      </c>
      <c r="K147" s="54">
        <v>2897.77</v>
      </c>
      <c r="L147" s="54">
        <v>34684.23</v>
      </c>
      <c r="M147" s="54">
        <v>20284.39</v>
      </c>
      <c r="N147" s="54">
        <v>14399.84</v>
      </c>
      <c r="O147" s="1" t="s">
        <v>50</v>
      </c>
      <c r="P147" s="1" t="s">
        <v>710</v>
      </c>
      <c r="Q147" s="1">
        <f>IF(COUNTIF($C$4:C147,C147)=1,1,0)</f>
        <v>0</v>
      </c>
      <c r="R147" s="1">
        <f>IF(COUNTIFS($D$4:D147,D147,$C$4:C147,C147)=1,1,0)</f>
        <v>1</v>
      </c>
    </row>
    <row r="148" ht="15" customHeight="1" spans="1:18">
      <c r="A148" s="1" t="s">
        <v>20</v>
      </c>
      <c r="B148" s="53">
        <v>46002</v>
      </c>
      <c r="C148" s="1" t="s">
        <v>22</v>
      </c>
      <c r="D148" s="1" t="s">
        <v>54</v>
      </c>
      <c r="E148" s="1" t="s">
        <v>24</v>
      </c>
      <c r="F148" s="1" t="s">
        <v>25</v>
      </c>
      <c r="G148" s="1" t="s">
        <v>18</v>
      </c>
      <c r="H148" s="1">
        <v>12</v>
      </c>
      <c r="I148" s="54">
        <v>2285.29</v>
      </c>
      <c r="J148" s="55">
        <v>0</v>
      </c>
      <c r="K148" s="54">
        <v>1072.87</v>
      </c>
      <c r="L148" s="54">
        <v>27423.48</v>
      </c>
      <c r="M148" s="54">
        <v>12874.44</v>
      </c>
      <c r="N148" s="54">
        <v>14549.04</v>
      </c>
      <c r="O148" s="1" t="s">
        <v>26</v>
      </c>
      <c r="P148" s="1" t="s">
        <v>710</v>
      </c>
      <c r="Q148" s="1">
        <f>IF(COUNTIF($C$4:C148,C148)=1,1,0)</f>
        <v>1</v>
      </c>
      <c r="R148" s="1">
        <f>IF(COUNTIFS($D$4:D148,D148,$C$4:C148,C148)=1,1,0)</f>
        <v>1</v>
      </c>
    </row>
    <row r="149" ht="15" customHeight="1" spans="1:18">
      <c r="A149" s="1" t="s">
        <v>327</v>
      </c>
      <c r="B149" s="53">
        <v>46003</v>
      </c>
      <c r="C149" s="1" t="s">
        <v>329</v>
      </c>
      <c r="D149" s="1" t="s">
        <v>30</v>
      </c>
      <c r="E149" s="1" t="s">
        <v>55</v>
      </c>
      <c r="F149" s="1" t="s">
        <v>56</v>
      </c>
      <c r="G149" s="1" t="s">
        <v>18</v>
      </c>
      <c r="H149" s="1">
        <v>3</v>
      </c>
      <c r="I149" s="54">
        <v>3395.04</v>
      </c>
      <c r="J149" s="55">
        <v>0.1</v>
      </c>
      <c r="K149" s="54">
        <v>1969.66</v>
      </c>
      <c r="L149" s="54">
        <v>9166.61</v>
      </c>
      <c r="M149" s="54">
        <v>5908.98</v>
      </c>
      <c r="N149" s="54">
        <v>3257.63</v>
      </c>
      <c r="O149" s="1" t="s">
        <v>19</v>
      </c>
      <c r="P149" s="1" t="s">
        <v>710</v>
      </c>
      <c r="Q149" s="1">
        <f>IF(COUNTIF($C$4:C149,C149)=1,1,0)</f>
        <v>0</v>
      </c>
      <c r="R149" s="1">
        <f>IF(COUNTIFS($D$4:D149,D149,$C$4:C149,C149)=1,1,0)</f>
        <v>1</v>
      </c>
    </row>
    <row r="150" ht="15" customHeight="1" spans="1:18">
      <c r="A150" s="1" t="s">
        <v>159</v>
      </c>
      <c r="B150" s="53">
        <v>46006</v>
      </c>
      <c r="C150" s="1" t="s">
        <v>161</v>
      </c>
      <c r="D150" s="1" t="s">
        <v>48</v>
      </c>
      <c r="E150" s="1" t="s">
        <v>61</v>
      </c>
      <c r="F150" s="1" t="s">
        <v>94</v>
      </c>
      <c r="G150" s="1" t="s">
        <v>31</v>
      </c>
      <c r="H150" s="1">
        <v>3</v>
      </c>
      <c r="I150" s="54">
        <v>2590.48</v>
      </c>
      <c r="J150" s="55">
        <v>0</v>
      </c>
      <c r="K150" s="54">
        <v>1265.98</v>
      </c>
      <c r="L150" s="54">
        <v>7771.44</v>
      </c>
      <c r="M150" s="54">
        <v>3797.94</v>
      </c>
      <c r="N150" s="54">
        <v>3973.5</v>
      </c>
      <c r="O150" s="1" t="s">
        <v>50</v>
      </c>
      <c r="P150" s="1" t="s">
        <v>710</v>
      </c>
      <c r="Q150" s="1">
        <f>IF(COUNTIF($C$4:C150,C150)=1,1,0)</f>
        <v>1</v>
      </c>
      <c r="R150" s="1">
        <f>IF(COUNTIFS($D$4:D150,D150,$C$4:C150,C150)=1,1,0)</f>
        <v>1</v>
      </c>
    </row>
    <row r="151" ht="15" customHeight="1" spans="1:18">
      <c r="A151" s="1" t="s">
        <v>270</v>
      </c>
      <c r="B151" s="53">
        <v>46009</v>
      </c>
      <c r="C151" s="1" t="s">
        <v>272</v>
      </c>
      <c r="D151" s="1" t="s">
        <v>48</v>
      </c>
      <c r="E151" s="1" t="s">
        <v>61</v>
      </c>
      <c r="F151" s="1" t="s">
        <v>120</v>
      </c>
      <c r="G151" s="1" t="s">
        <v>38</v>
      </c>
      <c r="H151" s="1">
        <v>3</v>
      </c>
      <c r="I151" s="54">
        <v>4800.3</v>
      </c>
      <c r="J151" s="55">
        <v>0.2</v>
      </c>
      <c r="K151" s="54">
        <v>2460.78</v>
      </c>
      <c r="L151" s="54">
        <v>11520.72</v>
      </c>
      <c r="M151" s="54">
        <v>7382.34</v>
      </c>
      <c r="N151" s="54">
        <v>4138.38</v>
      </c>
      <c r="O151" s="1" t="s">
        <v>136</v>
      </c>
      <c r="P151" s="1" t="s">
        <v>710</v>
      </c>
      <c r="Q151" s="1">
        <f>IF(COUNTIF($C$4:C151,C151)=1,1,0)</f>
        <v>0</v>
      </c>
      <c r="R151" s="1">
        <f>IF(COUNTIFS($D$4:D151,D151,$C$4:C151,C151)=1,1,0)</f>
        <v>1</v>
      </c>
    </row>
    <row r="152" ht="15" customHeight="1" spans="1:18">
      <c r="A152" s="1" t="s">
        <v>622</v>
      </c>
      <c r="B152" s="53">
        <v>46010</v>
      </c>
      <c r="C152" s="1" t="s">
        <v>624</v>
      </c>
      <c r="D152" s="1" t="s">
        <v>48</v>
      </c>
      <c r="E152" s="1" t="s">
        <v>24</v>
      </c>
      <c r="F152" s="1" t="s">
        <v>131</v>
      </c>
      <c r="G152" s="1" t="s">
        <v>38</v>
      </c>
      <c r="H152" s="1">
        <v>9</v>
      </c>
      <c r="I152" s="54">
        <v>4749.8</v>
      </c>
      <c r="J152" s="55">
        <v>0.15</v>
      </c>
      <c r="K152" s="54">
        <v>2261.73</v>
      </c>
      <c r="L152" s="54">
        <v>36335.97</v>
      </c>
      <c r="M152" s="54">
        <v>20355.57</v>
      </c>
      <c r="N152" s="54">
        <v>15980.4</v>
      </c>
      <c r="O152" s="1" t="s">
        <v>136</v>
      </c>
      <c r="P152" s="1" t="s">
        <v>710</v>
      </c>
      <c r="Q152" s="1">
        <f>IF(COUNTIF($C$4:C152,C152)=1,1,0)</f>
        <v>1</v>
      </c>
      <c r="R152" s="1">
        <f>IF(COUNTIFS($D$4:D152,D152,$C$4:C152,C152)=1,1,0)</f>
        <v>1</v>
      </c>
    </row>
    <row r="153" ht="15" customHeight="1" spans="1:18">
      <c r="A153" s="1" t="s">
        <v>197</v>
      </c>
      <c r="B153" s="53">
        <v>46011</v>
      </c>
      <c r="C153" s="1" t="s">
        <v>199</v>
      </c>
      <c r="D153" s="1" t="s">
        <v>30</v>
      </c>
      <c r="E153" s="1" t="s">
        <v>61</v>
      </c>
      <c r="F153" s="1" t="s">
        <v>120</v>
      </c>
      <c r="G153" s="1" t="s">
        <v>57</v>
      </c>
      <c r="H153" s="1">
        <v>8</v>
      </c>
      <c r="I153" s="54">
        <v>4365.72</v>
      </c>
      <c r="J153" s="55">
        <v>0.05</v>
      </c>
      <c r="K153" s="54">
        <v>2233.66</v>
      </c>
      <c r="L153" s="54">
        <v>33179.47</v>
      </c>
      <c r="M153" s="54">
        <v>17869.28</v>
      </c>
      <c r="N153" s="54">
        <v>15310.19</v>
      </c>
      <c r="O153" s="1" t="s">
        <v>50</v>
      </c>
      <c r="P153" s="1" t="s">
        <v>710</v>
      </c>
      <c r="Q153" s="1">
        <f>IF(COUNTIF($C$4:C153,C153)=1,1,0)</f>
        <v>1</v>
      </c>
      <c r="R153" s="1">
        <f>IF(COUNTIFS($D$4:D153,D153,$C$4:C153,C153)=1,1,0)</f>
        <v>1</v>
      </c>
    </row>
    <row r="154" ht="15" customHeight="1" spans="1:18">
      <c r="A154" s="1" t="s">
        <v>485</v>
      </c>
      <c r="B154" s="53">
        <v>46012</v>
      </c>
      <c r="C154" s="1" t="s">
        <v>487</v>
      </c>
      <c r="D154" s="1" t="s">
        <v>41</v>
      </c>
      <c r="E154" s="1" t="s">
        <v>55</v>
      </c>
      <c r="F154" s="1" t="s">
        <v>56</v>
      </c>
      <c r="G154" s="1" t="s">
        <v>18</v>
      </c>
      <c r="H154" s="1">
        <v>1</v>
      </c>
      <c r="I154" s="54">
        <v>4681.27</v>
      </c>
      <c r="J154" s="55">
        <v>0.1</v>
      </c>
      <c r="K154" s="54">
        <v>1900.49</v>
      </c>
      <c r="L154" s="54">
        <v>4213.14</v>
      </c>
      <c r="M154" s="54">
        <v>1900.49</v>
      </c>
      <c r="N154" s="54">
        <v>2312.65</v>
      </c>
      <c r="O154" s="1" t="s">
        <v>19</v>
      </c>
      <c r="P154" s="1" t="s">
        <v>710</v>
      </c>
      <c r="Q154" s="1">
        <f>IF(COUNTIF($C$4:C154,C154)=1,1,0)</f>
        <v>1</v>
      </c>
      <c r="R154" s="1">
        <f>IF(COUNTIFS($D$4:D154,D154,$C$4:C154,C154)=1,1,0)</f>
        <v>1</v>
      </c>
    </row>
    <row r="155" ht="15" customHeight="1" spans="1:18">
      <c r="A155" s="1" t="s">
        <v>376</v>
      </c>
      <c r="B155" s="53">
        <v>46014</v>
      </c>
      <c r="C155" s="1" t="s">
        <v>317</v>
      </c>
      <c r="D155" s="1" t="s">
        <v>54</v>
      </c>
      <c r="E155" s="1" t="s">
        <v>42</v>
      </c>
      <c r="F155" s="1" t="s">
        <v>43</v>
      </c>
      <c r="G155" s="1" t="s">
        <v>57</v>
      </c>
      <c r="H155" s="1">
        <v>11</v>
      </c>
      <c r="I155" s="54">
        <v>4409.4</v>
      </c>
      <c r="J155" s="55">
        <v>0.2</v>
      </c>
      <c r="K155" s="54">
        <v>1910.36</v>
      </c>
      <c r="L155" s="54">
        <v>38802.72</v>
      </c>
      <c r="M155" s="54">
        <v>21013.96</v>
      </c>
      <c r="N155" s="54">
        <v>17788.76</v>
      </c>
      <c r="O155" s="1" t="s">
        <v>50</v>
      </c>
      <c r="P155" s="1" t="s">
        <v>710</v>
      </c>
      <c r="Q155" s="1">
        <f>IF(COUNTIF($C$4:C155,C155)=1,1,0)</f>
        <v>0</v>
      </c>
      <c r="R155" s="1">
        <f>IF(COUNTIFS($D$4:D155,D155,$C$4:C155,C155)=1,1,0)</f>
        <v>1</v>
      </c>
    </row>
    <row r="156" ht="15" customHeight="1" spans="1:18">
      <c r="A156" s="1" t="s">
        <v>549</v>
      </c>
      <c r="B156" s="53">
        <v>46015</v>
      </c>
      <c r="C156" s="1" t="s">
        <v>531</v>
      </c>
      <c r="D156" s="1" t="s">
        <v>80</v>
      </c>
      <c r="E156" s="1" t="s">
        <v>61</v>
      </c>
      <c r="F156" s="1" t="s">
        <v>120</v>
      </c>
      <c r="G156" s="1" t="s">
        <v>57</v>
      </c>
      <c r="H156" s="1">
        <v>12</v>
      </c>
      <c r="I156" s="54">
        <v>3319.88</v>
      </c>
      <c r="J156" s="55">
        <v>0.05</v>
      </c>
      <c r="K156" s="54">
        <v>1679.7</v>
      </c>
      <c r="L156" s="54">
        <v>37846.63</v>
      </c>
      <c r="M156" s="54">
        <v>20156.4</v>
      </c>
      <c r="N156" s="54">
        <v>17690.23</v>
      </c>
      <c r="O156" s="1" t="s">
        <v>32</v>
      </c>
      <c r="P156" s="1" t="s">
        <v>710</v>
      </c>
      <c r="Q156" s="1">
        <f>IF(COUNTIF($C$4:C156,C156)=1,1,0)</f>
        <v>1</v>
      </c>
      <c r="R156" s="1">
        <f>IF(COUNTIFS($D$4:D156,D156,$C$4:C156,C156)=1,1,0)</f>
        <v>1</v>
      </c>
    </row>
    <row r="157" ht="15" customHeight="1" spans="1:18">
      <c r="A157" s="1" t="s">
        <v>246</v>
      </c>
      <c r="B157" s="53">
        <v>46020</v>
      </c>
      <c r="C157" s="1" t="s">
        <v>248</v>
      </c>
      <c r="D157" s="1" t="s">
        <v>54</v>
      </c>
      <c r="E157" s="1" t="s">
        <v>55</v>
      </c>
      <c r="F157" s="1" t="s">
        <v>56</v>
      </c>
      <c r="G157" s="1" t="s">
        <v>38</v>
      </c>
      <c r="H157" s="1">
        <v>9</v>
      </c>
      <c r="I157" s="54">
        <v>2938.91</v>
      </c>
      <c r="J157" s="55">
        <v>0.05</v>
      </c>
      <c r="K157" s="54">
        <v>1667.84</v>
      </c>
      <c r="L157" s="54">
        <v>25127.68</v>
      </c>
      <c r="M157" s="54">
        <v>15010.56</v>
      </c>
      <c r="N157" s="54">
        <v>10117.12</v>
      </c>
      <c r="O157" s="1" t="s">
        <v>136</v>
      </c>
      <c r="P157" s="1" t="s">
        <v>710</v>
      </c>
      <c r="Q157" s="1">
        <f>IF(COUNTIF($C$4:C157,C157)=1,1,0)</f>
        <v>1</v>
      </c>
      <c r="R157" s="1">
        <f>IF(COUNTIFS($D$4:D157,D157,$C$4:C157,C157)=1,1,0)</f>
        <v>1</v>
      </c>
    </row>
    <row r="158" ht="15" customHeight="1" spans="1:18">
      <c r="A158" s="1" t="s">
        <v>401</v>
      </c>
      <c r="B158" s="53">
        <v>46020</v>
      </c>
      <c r="C158" s="1" t="s">
        <v>402</v>
      </c>
      <c r="D158" s="1" t="s">
        <v>54</v>
      </c>
      <c r="E158" s="1" t="s">
        <v>55</v>
      </c>
      <c r="F158" s="1" t="s">
        <v>154</v>
      </c>
      <c r="G158" s="1" t="s">
        <v>38</v>
      </c>
      <c r="H158" s="1">
        <v>3</v>
      </c>
      <c r="I158" s="54">
        <v>1431.55</v>
      </c>
      <c r="J158" s="55">
        <v>0</v>
      </c>
      <c r="K158" s="54">
        <v>794.43</v>
      </c>
      <c r="L158" s="54">
        <v>4294.65</v>
      </c>
      <c r="M158" s="54">
        <v>2383.29</v>
      </c>
      <c r="N158" s="54">
        <v>1911.36</v>
      </c>
      <c r="O158" s="1" t="s">
        <v>26</v>
      </c>
      <c r="P158" s="1" t="s">
        <v>710</v>
      </c>
      <c r="Q158" s="1">
        <f>IF(COUNTIF($C$4:C158,C158)=1,1,0)</f>
        <v>1</v>
      </c>
      <c r="R158" s="1">
        <f>IF(COUNTIFS($D$4:D158,D158,$C$4:C158,C158)=1,1,0)</f>
        <v>1</v>
      </c>
    </row>
    <row r="159" ht="15" customHeight="1" spans="1:18">
      <c r="A159" s="1" t="s">
        <v>99</v>
      </c>
      <c r="B159" s="53">
        <v>46020</v>
      </c>
      <c r="C159" s="1" t="s">
        <v>101</v>
      </c>
      <c r="D159" s="1" t="s">
        <v>80</v>
      </c>
      <c r="E159" s="1" t="s">
        <v>16</v>
      </c>
      <c r="F159" s="1" t="s">
        <v>102</v>
      </c>
      <c r="G159" s="1" t="s">
        <v>90</v>
      </c>
      <c r="H159" s="1">
        <v>6</v>
      </c>
      <c r="I159" s="54">
        <v>1286.36</v>
      </c>
      <c r="J159" s="55">
        <v>0</v>
      </c>
      <c r="K159" s="54">
        <v>594.79</v>
      </c>
      <c r="L159" s="54">
        <v>7718.16</v>
      </c>
      <c r="M159" s="54">
        <v>3568.74</v>
      </c>
      <c r="N159" s="54">
        <v>4149.42</v>
      </c>
      <c r="O159" s="1" t="s">
        <v>26</v>
      </c>
      <c r="P159" s="1" t="s">
        <v>710</v>
      </c>
      <c r="Q159" s="1">
        <f>IF(COUNTIF($C$4:C159,C159)=1,1,0)</f>
        <v>0</v>
      </c>
      <c r="R159" s="1">
        <f>IF(COUNTIFS($D$4:D159,D159,$C$4:C159,C159)=1,1,0)</f>
        <v>1</v>
      </c>
    </row>
    <row r="160" ht="15" customHeight="1" spans="1:18">
      <c r="A160" s="1" t="s">
        <v>513</v>
      </c>
      <c r="B160" s="53">
        <v>46023</v>
      </c>
      <c r="C160" s="1" t="s">
        <v>711</v>
      </c>
      <c r="D160" s="1" t="s">
        <v>41</v>
      </c>
      <c r="E160" s="1" t="s">
        <v>42</v>
      </c>
      <c r="F160" s="1" t="s">
        <v>146</v>
      </c>
      <c r="G160" s="1" t="s">
        <v>57</v>
      </c>
      <c r="H160" s="1">
        <v>9</v>
      </c>
      <c r="I160" s="54">
        <v>3558.73</v>
      </c>
      <c r="J160" s="55">
        <v>0.2</v>
      </c>
      <c r="K160" s="54">
        <v>2249.87</v>
      </c>
      <c r="L160" s="54">
        <v>25622.86</v>
      </c>
      <c r="M160" s="54">
        <v>20248.83</v>
      </c>
      <c r="N160" s="54">
        <v>5374.03</v>
      </c>
      <c r="O160" s="1" t="s">
        <v>50</v>
      </c>
      <c r="P160" s="1" t="s">
        <v>712</v>
      </c>
      <c r="Q160" s="1">
        <f>IF(COUNTIF($C$4:C160,C160)=1,1,0)</f>
        <v>1</v>
      </c>
      <c r="R160" s="1">
        <f>IF(COUNTIFS($D$4:D160,D160,$C$4:C160,C160)=1,1,0)</f>
        <v>1</v>
      </c>
    </row>
    <row r="161" ht="15" customHeight="1" spans="1:18">
      <c r="A161" s="1" t="s">
        <v>303</v>
      </c>
      <c r="B161" s="53">
        <v>46023</v>
      </c>
      <c r="C161" s="1" t="s">
        <v>305</v>
      </c>
      <c r="D161" s="1" t="s">
        <v>30</v>
      </c>
      <c r="E161" s="1" t="s">
        <v>24</v>
      </c>
      <c r="F161" s="1" t="s">
        <v>124</v>
      </c>
      <c r="G161" s="1" t="s">
        <v>112</v>
      </c>
      <c r="H161" s="1">
        <v>5</v>
      </c>
      <c r="I161" s="54">
        <v>471.12</v>
      </c>
      <c r="J161" s="55">
        <v>0</v>
      </c>
      <c r="K161" s="54">
        <v>264.64</v>
      </c>
      <c r="L161" s="54">
        <v>2355.6</v>
      </c>
      <c r="M161" s="54">
        <v>1323.2</v>
      </c>
      <c r="N161" s="54">
        <v>1032.4</v>
      </c>
      <c r="O161" s="1" t="s">
        <v>136</v>
      </c>
      <c r="P161" s="1" t="s">
        <v>712</v>
      </c>
      <c r="Q161" s="1">
        <f>IF(COUNTIF($C$4:C161,C161)=1,1,0)</f>
        <v>0</v>
      </c>
      <c r="R161" s="1">
        <f>IF(COUNTIFS($D$4:D161,D161,$C$4:C161,C161)=1,1,0)</f>
        <v>1</v>
      </c>
    </row>
    <row r="162" ht="15" customHeight="1" spans="1:18">
      <c r="A162" s="1" t="s">
        <v>318</v>
      </c>
      <c r="B162" s="53">
        <v>46028</v>
      </c>
      <c r="C162" s="1" t="s">
        <v>320</v>
      </c>
      <c r="D162" s="1" t="s">
        <v>80</v>
      </c>
      <c r="E162" s="1" t="s">
        <v>24</v>
      </c>
      <c r="F162" s="1" t="s">
        <v>25</v>
      </c>
      <c r="G162" s="1" t="s">
        <v>18</v>
      </c>
      <c r="H162" s="1">
        <v>12</v>
      </c>
      <c r="I162" s="54">
        <v>3633.95</v>
      </c>
      <c r="J162" s="55">
        <v>0</v>
      </c>
      <c r="K162" s="54">
        <v>2089.72</v>
      </c>
      <c r="L162" s="54">
        <v>43607.4</v>
      </c>
      <c r="M162" s="54">
        <v>25076.64</v>
      </c>
      <c r="N162" s="54">
        <v>18530.76</v>
      </c>
      <c r="O162" s="1" t="s">
        <v>19</v>
      </c>
      <c r="P162" s="1" t="s">
        <v>712</v>
      </c>
      <c r="Q162" s="1">
        <f>IF(COUNTIF($C$4:C162,C162)=1,1,0)</f>
        <v>1</v>
      </c>
      <c r="R162" s="1">
        <f>IF(COUNTIFS($D$4:D162,D162,$C$4:C162,C162)=1,1,0)</f>
        <v>1</v>
      </c>
    </row>
    <row r="163" ht="15" customHeight="1" spans="1:18">
      <c r="A163" s="1" t="s">
        <v>584</v>
      </c>
      <c r="B163" s="53">
        <v>46030</v>
      </c>
      <c r="C163" s="1" t="s">
        <v>305</v>
      </c>
      <c r="D163" s="1" t="s">
        <v>80</v>
      </c>
      <c r="E163" s="1" t="s">
        <v>24</v>
      </c>
      <c r="F163" s="1" t="s">
        <v>131</v>
      </c>
      <c r="G163" s="1" t="s">
        <v>38</v>
      </c>
      <c r="H163" s="1">
        <v>9</v>
      </c>
      <c r="I163" s="54">
        <v>1271.2</v>
      </c>
      <c r="J163" s="55">
        <v>0</v>
      </c>
      <c r="K163" s="54">
        <v>721.87</v>
      </c>
      <c r="L163" s="54">
        <v>11440.8</v>
      </c>
      <c r="M163" s="54">
        <v>6496.83</v>
      </c>
      <c r="N163" s="54">
        <v>4943.97</v>
      </c>
      <c r="O163" s="1" t="s">
        <v>32</v>
      </c>
      <c r="P163" s="1" t="s">
        <v>712</v>
      </c>
      <c r="Q163" s="1">
        <f>IF(COUNTIF($C$4:C163,C163)=1,1,0)</f>
        <v>0</v>
      </c>
      <c r="R163" s="1">
        <f>IF(COUNTIFS($D$4:D163,D163,$C$4:C163,C163)=1,1,0)</f>
        <v>1</v>
      </c>
    </row>
    <row r="164" ht="15" customHeight="1" spans="1:18">
      <c r="A164" s="1" t="s">
        <v>340</v>
      </c>
      <c r="B164" s="53">
        <v>46032</v>
      </c>
      <c r="C164" s="1" t="s">
        <v>342</v>
      </c>
      <c r="D164" s="1" t="s">
        <v>54</v>
      </c>
      <c r="E164" s="1" t="s">
        <v>24</v>
      </c>
      <c r="F164" s="1" t="s">
        <v>131</v>
      </c>
      <c r="G164" s="1" t="s">
        <v>18</v>
      </c>
      <c r="H164" s="1">
        <v>2</v>
      </c>
      <c r="I164" s="54">
        <v>2150.35</v>
      </c>
      <c r="J164" s="55">
        <v>0</v>
      </c>
      <c r="K164" s="54">
        <v>1287.47</v>
      </c>
      <c r="L164" s="54">
        <v>4300.7</v>
      </c>
      <c r="M164" s="54">
        <v>2574.94</v>
      </c>
      <c r="N164" s="54">
        <v>1725.76</v>
      </c>
      <c r="O164" s="1" t="s">
        <v>50</v>
      </c>
      <c r="P164" s="1" t="s">
        <v>712</v>
      </c>
      <c r="Q164" s="1">
        <f>IF(COUNTIF($C$4:C164,C164)=1,1,0)</f>
        <v>1</v>
      </c>
      <c r="R164" s="1">
        <f>IF(COUNTIFS($D$4:D164,D164,$C$4:C164,C164)=1,1,0)</f>
        <v>1</v>
      </c>
    </row>
    <row r="165" ht="15" customHeight="1" spans="1:18">
      <c r="A165" s="1" t="s">
        <v>162</v>
      </c>
      <c r="B165" s="53">
        <v>46035</v>
      </c>
      <c r="C165" s="1" t="s">
        <v>164</v>
      </c>
      <c r="D165" s="1" t="s">
        <v>54</v>
      </c>
      <c r="E165" s="1" t="s">
        <v>42</v>
      </c>
      <c r="F165" s="1" t="s">
        <v>43</v>
      </c>
      <c r="G165" s="1" t="s">
        <v>90</v>
      </c>
      <c r="H165" s="1">
        <v>5</v>
      </c>
      <c r="I165" s="54">
        <v>1340.5</v>
      </c>
      <c r="J165" s="55">
        <v>0</v>
      </c>
      <c r="K165" s="54">
        <v>768.04</v>
      </c>
      <c r="L165" s="54">
        <v>6702.5</v>
      </c>
      <c r="M165" s="54">
        <v>3840.2</v>
      </c>
      <c r="N165" s="54">
        <v>2862.3</v>
      </c>
      <c r="O165" s="1" t="s">
        <v>50</v>
      </c>
      <c r="P165" s="1" t="s">
        <v>712</v>
      </c>
      <c r="Q165" s="1">
        <f>IF(COUNTIF($C$4:C165,C165)=1,1,0)</f>
        <v>1</v>
      </c>
      <c r="R165" s="1">
        <f>IF(COUNTIFS($D$4:D165,D165,$C$4:C165,C165)=1,1,0)</f>
        <v>1</v>
      </c>
    </row>
    <row r="166" ht="15" customHeight="1" spans="1:18">
      <c r="A166" s="1" t="s">
        <v>662</v>
      </c>
      <c r="B166" s="53">
        <v>46037</v>
      </c>
      <c r="C166" s="1" t="s">
        <v>314</v>
      </c>
      <c r="D166" s="1" t="s">
        <v>41</v>
      </c>
      <c r="E166" s="1" t="s">
        <v>16</v>
      </c>
      <c r="F166" s="1" t="s">
        <v>17</v>
      </c>
      <c r="G166" s="1" t="s">
        <v>112</v>
      </c>
      <c r="H166" s="1">
        <v>10</v>
      </c>
      <c r="I166" s="54">
        <v>2345.27</v>
      </c>
      <c r="J166" s="55">
        <v>0</v>
      </c>
      <c r="K166" s="54">
        <v>975.68</v>
      </c>
      <c r="L166" s="54">
        <v>23452.7</v>
      </c>
      <c r="M166" s="54">
        <v>9756.8</v>
      </c>
      <c r="N166" s="54">
        <v>13695.9</v>
      </c>
      <c r="O166" s="1" t="s">
        <v>19</v>
      </c>
      <c r="P166" s="1" t="s">
        <v>712</v>
      </c>
      <c r="Q166" s="1">
        <f>IF(COUNTIF($C$4:C166,C166)=1,1,0)</f>
        <v>1</v>
      </c>
      <c r="R166" s="1">
        <f>IF(COUNTIFS($D$4:D166,D166,$C$4:C166,C166)=1,1,0)</f>
        <v>1</v>
      </c>
    </row>
    <row r="167" ht="15" customHeight="1" spans="1:18">
      <c r="A167" s="1" t="s">
        <v>227</v>
      </c>
      <c r="B167" s="53">
        <v>46037</v>
      </c>
      <c r="C167" s="1" t="s">
        <v>229</v>
      </c>
      <c r="D167" s="1" t="s">
        <v>48</v>
      </c>
      <c r="E167" s="1" t="s">
        <v>42</v>
      </c>
      <c r="F167" s="1" t="s">
        <v>85</v>
      </c>
      <c r="G167" s="1" t="s">
        <v>38</v>
      </c>
      <c r="H167" s="1">
        <v>7</v>
      </c>
      <c r="I167" s="54">
        <v>4712.55</v>
      </c>
      <c r="J167" s="55">
        <v>0.15</v>
      </c>
      <c r="K167" s="54">
        <v>2214.59</v>
      </c>
      <c r="L167" s="54">
        <v>28039.67</v>
      </c>
      <c r="M167" s="54">
        <v>15502.13</v>
      </c>
      <c r="N167" s="54">
        <v>12537.54</v>
      </c>
      <c r="O167" s="1" t="s">
        <v>26</v>
      </c>
      <c r="P167" s="1" t="s">
        <v>712</v>
      </c>
      <c r="Q167" s="1">
        <f>IF(COUNTIF($C$4:C167,C167)=1,1,0)</f>
        <v>1</v>
      </c>
      <c r="R167" s="1">
        <f>IF(COUNTIFS($D$4:D167,D167,$C$4:C167,C167)=1,1,0)</f>
        <v>1</v>
      </c>
    </row>
    <row r="168" ht="15" customHeight="1" spans="1:18">
      <c r="A168" s="1" t="s">
        <v>488</v>
      </c>
      <c r="B168" s="53">
        <v>46039</v>
      </c>
      <c r="C168" s="1" t="s">
        <v>490</v>
      </c>
      <c r="D168" s="1" t="s">
        <v>54</v>
      </c>
      <c r="E168" s="1" t="s">
        <v>55</v>
      </c>
      <c r="F168" s="1" t="s">
        <v>66</v>
      </c>
      <c r="G168" s="1" t="s">
        <v>90</v>
      </c>
      <c r="H168" s="1">
        <v>4</v>
      </c>
      <c r="I168" s="54">
        <v>4516.25</v>
      </c>
      <c r="J168" s="55">
        <v>0.15</v>
      </c>
      <c r="K168" s="54">
        <v>2393.34</v>
      </c>
      <c r="L168" s="54">
        <v>15355.25</v>
      </c>
      <c r="M168" s="54">
        <v>9573.36</v>
      </c>
      <c r="N168" s="54">
        <v>5781.89</v>
      </c>
      <c r="O168" s="1" t="s">
        <v>19</v>
      </c>
      <c r="P168" s="1" t="s">
        <v>712</v>
      </c>
      <c r="Q168" s="1">
        <f>IF(COUNTIF($C$4:C168,C168)=1,1,0)</f>
        <v>1</v>
      </c>
      <c r="R168" s="1">
        <f>IF(COUNTIFS($D$4:D168,D168,$C$4:C168,C168)=1,1,0)</f>
        <v>1</v>
      </c>
    </row>
    <row r="169" ht="15" customHeight="1" spans="1:18">
      <c r="A169" s="1" t="s">
        <v>203</v>
      </c>
      <c r="B169" s="53">
        <v>46047</v>
      </c>
      <c r="C169" s="1" t="s">
        <v>205</v>
      </c>
      <c r="D169" s="1" t="s">
        <v>80</v>
      </c>
      <c r="E169" s="1" t="s">
        <v>42</v>
      </c>
      <c r="F169" s="1" t="s">
        <v>146</v>
      </c>
      <c r="G169" s="1" t="s">
        <v>38</v>
      </c>
      <c r="H169" s="1">
        <v>12</v>
      </c>
      <c r="I169" s="54">
        <v>2167.17</v>
      </c>
      <c r="J169" s="55">
        <v>0</v>
      </c>
      <c r="K169" s="54">
        <v>910.38</v>
      </c>
      <c r="L169" s="54">
        <v>26006.04</v>
      </c>
      <c r="M169" s="54">
        <v>10924.56</v>
      </c>
      <c r="N169" s="54">
        <v>15081.48</v>
      </c>
      <c r="O169" s="1" t="s">
        <v>136</v>
      </c>
      <c r="P169" s="1" t="s">
        <v>712</v>
      </c>
      <c r="Q169" s="1">
        <f>IF(COUNTIF($C$4:C169,C169)=1,1,0)</f>
        <v>1</v>
      </c>
      <c r="R169" s="1">
        <f>IF(COUNTIFS($D$4:D169,D169,$C$4:C169,C169)=1,1,0)</f>
        <v>1</v>
      </c>
    </row>
    <row r="170" ht="15" customHeight="1" spans="1:18">
      <c r="A170" s="1" t="s">
        <v>562</v>
      </c>
      <c r="B170" s="53">
        <v>46050</v>
      </c>
      <c r="C170" s="1" t="s">
        <v>462</v>
      </c>
      <c r="D170" s="1" t="s">
        <v>41</v>
      </c>
      <c r="E170" s="1" t="s">
        <v>42</v>
      </c>
      <c r="F170" s="1" t="s">
        <v>85</v>
      </c>
      <c r="G170" s="1" t="s">
        <v>38</v>
      </c>
      <c r="H170" s="1">
        <v>7</v>
      </c>
      <c r="I170" s="54">
        <v>3276.39</v>
      </c>
      <c r="J170" s="55">
        <v>0.05</v>
      </c>
      <c r="K170" s="54">
        <v>1640.97</v>
      </c>
      <c r="L170" s="54">
        <v>21787.99</v>
      </c>
      <c r="M170" s="54">
        <v>11486.79</v>
      </c>
      <c r="N170" s="54">
        <v>10301.2</v>
      </c>
      <c r="O170" s="1" t="s">
        <v>50</v>
      </c>
      <c r="P170" s="1" t="s">
        <v>712</v>
      </c>
      <c r="Q170" s="1">
        <f>IF(COUNTIF($C$4:C170,C170)=1,1,0)</f>
        <v>0</v>
      </c>
      <c r="R170" s="1">
        <f>IF(COUNTIFS($D$4:D170,D170,$C$4:C170,C170)=1,1,0)</f>
        <v>1</v>
      </c>
    </row>
    <row r="171" ht="15" customHeight="1" spans="1:18">
      <c r="A171" s="1" t="s">
        <v>273</v>
      </c>
      <c r="B171" s="53">
        <v>46053</v>
      </c>
      <c r="C171" s="1" t="s">
        <v>275</v>
      </c>
      <c r="D171" s="1" t="s">
        <v>54</v>
      </c>
      <c r="E171" s="1" t="s">
        <v>61</v>
      </c>
      <c r="F171" s="1" t="s">
        <v>120</v>
      </c>
      <c r="G171" s="1" t="s">
        <v>57</v>
      </c>
      <c r="H171" s="1">
        <v>11</v>
      </c>
      <c r="I171" s="54">
        <v>1871.85</v>
      </c>
      <c r="J171" s="55">
        <v>0.1</v>
      </c>
      <c r="K171" s="54">
        <v>903.02</v>
      </c>
      <c r="L171" s="54">
        <v>18531.31</v>
      </c>
      <c r="M171" s="54">
        <v>9933.22</v>
      </c>
      <c r="N171" s="54">
        <v>8598.09</v>
      </c>
      <c r="O171" s="1" t="s">
        <v>136</v>
      </c>
      <c r="P171" s="1" t="s">
        <v>712</v>
      </c>
      <c r="Q171" s="1">
        <f>IF(COUNTIF($C$4:C171,C171)=1,1,0)</f>
        <v>0</v>
      </c>
      <c r="R171" s="1">
        <f>IF(COUNTIFS($D$4:D171,D171,$C$4:C171,C171)=1,1,0)</f>
        <v>1</v>
      </c>
    </row>
    <row r="172" ht="15" customHeight="1" spans="1:18">
      <c r="A172" s="1" t="s">
        <v>296</v>
      </c>
      <c r="B172" s="53">
        <v>46054</v>
      </c>
      <c r="C172" s="1" t="s">
        <v>298</v>
      </c>
      <c r="D172" s="1" t="s">
        <v>30</v>
      </c>
      <c r="E172" s="1" t="s">
        <v>24</v>
      </c>
      <c r="F172" s="1" t="s">
        <v>131</v>
      </c>
      <c r="G172" s="1" t="s">
        <v>38</v>
      </c>
      <c r="H172" s="1">
        <v>1</v>
      </c>
      <c r="I172" s="54">
        <v>2134.13</v>
      </c>
      <c r="J172" s="55">
        <v>0.15</v>
      </c>
      <c r="K172" s="54">
        <v>1104.48</v>
      </c>
      <c r="L172" s="54">
        <v>1814.01</v>
      </c>
      <c r="M172" s="54">
        <v>1104.48</v>
      </c>
      <c r="N172" s="54">
        <v>709.53</v>
      </c>
      <c r="O172" s="1" t="s">
        <v>136</v>
      </c>
      <c r="P172" s="1" t="s">
        <v>713</v>
      </c>
      <c r="Q172" s="1">
        <f>IF(COUNTIF($C$4:C172,C172)=1,1,0)</f>
        <v>1</v>
      </c>
      <c r="R172" s="1">
        <f>IF(COUNTIFS($D$4:D172,D172,$C$4:C172,C172)=1,1,0)</f>
        <v>1</v>
      </c>
    </row>
    <row r="173" ht="15" customHeight="1" spans="1:18">
      <c r="A173" s="1" t="s">
        <v>634</v>
      </c>
      <c r="B173" s="53">
        <v>46059</v>
      </c>
      <c r="C173" s="1" t="s">
        <v>605</v>
      </c>
      <c r="D173" s="1" t="s">
        <v>80</v>
      </c>
      <c r="E173" s="1" t="s">
        <v>16</v>
      </c>
      <c r="F173" s="1" t="s">
        <v>37</v>
      </c>
      <c r="G173" s="1" t="s">
        <v>38</v>
      </c>
      <c r="H173" s="1">
        <v>9</v>
      </c>
      <c r="I173" s="54">
        <v>2517.89</v>
      </c>
      <c r="J173" s="55">
        <v>0</v>
      </c>
      <c r="K173" s="54">
        <v>1495.12</v>
      </c>
      <c r="L173" s="54">
        <v>22661.01</v>
      </c>
      <c r="M173" s="54">
        <v>13456.08</v>
      </c>
      <c r="N173" s="54">
        <v>9204.93</v>
      </c>
      <c r="O173" s="1" t="s">
        <v>50</v>
      </c>
      <c r="P173" s="1" t="s">
        <v>713</v>
      </c>
      <c r="Q173" s="1">
        <f>IF(COUNTIF($C$4:C173,C173)=1,1,0)</f>
        <v>1</v>
      </c>
      <c r="R173" s="1">
        <f>IF(COUNTIFS($D$4:D173,D173,$C$4:C173,C173)=1,1,0)</f>
        <v>1</v>
      </c>
    </row>
    <row r="174" ht="15" customHeight="1" spans="1:18">
      <c r="A174" s="1" t="s">
        <v>364</v>
      </c>
      <c r="B174" s="53">
        <v>46068</v>
      </c>
      <c r="C174" s="1" t="s">
        <v>317</v>
      </c>
      <c r="D174" s="1" t="s">
        <v>30</v>
      </c>
      <c r="E174" s="1" t="s">
        <v>55</v>
      </c>
      <c r="F174" s="1" t="s">
        <v>81</v>
      </c>
      <c r="G174" s="1" t="s">
        <v>57</v>
      </c>
      <c r="H174" s="1">
        <v>7</v>
      </c>
      <c r="I174" s="54">
        <v>4185.85</v>
      </c>
      <c r="J174" s="55">
        <v>0</v>
      </c>
      <c r="K174" s="54">
        <v>2213.56</v>
      </c>
      <c r="L174" s="54">
        <v>29300.95</v>
      </c>
      <c r="M174" s="54">
        <v>15494.92</v>
      </c>
      <c r="N174" s="54">
        <v>13806.03</v>
      </c>
      <c r="O174" s="1" t="s">
        <v>32</v>
      </c>
      <c r="P174" s="1" t="s">
        <v>713</v>
      </c>
      <c r="Q174" s="1">
        <f>IF(COUNTIF($C$4:C174,C174)=1,1,0)</f>
        <v>0</v>
      </c>
      <c r="R174" s="1">
        <f>IF(COUNTIFS($D$4:D174,D174,$C$4:C174,C174)=1,1,0)</f>
        <v>1</v>
      </c>
    </row>
    <row r="175" ht="15" customHeight="1" spans="1:18">
      <c r="A175" s="1" t="s">
        <v>337</v>
      </c>
      <c r="B175" s="53">
        <v>46070</v>
      </c>
      <c r="C175" s="1" t="s">
        <v>339</v>
      </c>
      <c r="D175" s="1" t="s">
        <v>54</v>
      </c>
      <c r="E175" s="1" t="s">
        <v>24</v>
      </c>
      <c r="F175" s="1" t="s">
        <v>235</v>
      </c>
      <c r="G175" s="1" t="s">
        <v>112</v>
      </c>
      <c r="H175" s="1">
        <v>3</v>
      </c>
      <c r="I175" s="54">
        <v>4446.54</v>
      </c>
      <c r="J175" s="55">
        <v>0.2</v>
      </c>
      <c r="K175" s="54">
        <v>2587.34</v>
      </c>
      <c r="L175" s="54">
        <v>10671.7</v>
      </c>
      <c r="M175" s="54">
        <v>7762.02</v>
      </c>
      <c r="N175" s="54">
        <v>2909.68</v>
      </c>
      <c r="O175" s="1" t="s">
        <v>26</v>
      </c>
      <c r="P175" s="1" t="s">
        <v>713</v>
      </c>
      <c r="Q175" s="1">
        <f>IF(COUNTIF($C$4:C175,C175)=1,1,0)</f>
        <v>0</v>
      </c>
      <c r="R175" s="1">
        <f>IF(COUNTIFS($D$4:D175,D175,$C$4:C175,C175)=1,1,0)</f>
        <v>0</v>
      </c>
    </row>
    <row r="176" ht="15" customHeight="1" spans="1:18">
      <c r="A176" s="1" t="s">
        <v>553</v>
      </c>
      <c r="B176" s="53">
        <v>46072</v>
      </c>
      <c r="C176" s="1" t="s">
        <v>555</v>
      </c>
      <c r="D176" s="1" t="s">
        <v>54</v>
      </c>
      <c r="E176" s="1" t="s">
        <v>61</v>
      </c>
      <c r="F176" s="1" t="s">
        <v>62</v>
      </c>
      <c r="G176" s="1" t="s">
        <v>57</v>
      </c>
      <c r="H176" s="1">
        <v>8</v>
      </c>
      <c r="I176" s="54">
        <v>4987.1</v>
      </c>
      <c r="J176" s="55">
        <v>0.05</v>
      </c>
      <c r="K176" s="54">
        <v>2318.29</v>
      </c>
      <c r="L176" s="54">
        <v>37901.96</v>
      </c>
      <c r="M176" s="54">
        <v>18546.32</v>
      </c>
      <c r="N176" s="54">
        <v>19355.64</v>
      </c>
      <c r="O176" s="1" t="s">
        <v>19</v>
      </c>
      <c r="P176" s="1" t="s">
        <v>713</v>
      </c>
      <c r="Q176" s="1">
        <f>IF(COUNTIF($C$4:C176,C176)=1,1,0)</f>
        <v>1</v>
      </c>
      <c r="R176" s="1">
        <f>IF(COUNTIFS($D$4:D176,D176,$C$4:C176,C176)=1,1,0)</f>
        <v>1</v>
      </c>
    </row>
    <row r="177" ht="15" customHeight="1" spans="1:18">
      <c r="A177" s="1" t="s">
        <v>309</v>
      </c>
      <c r="B177" s="53">
        <v>46073</v>
      </c>
      <c r="C177" s="1" t="s">
        <v>152</v>
      </c>
      <c r="D177" s="1" t="s">
        <v>48</v>
      </c>
      <c r="E177" s="1" t="s">
        <v>61</v>
      </c>
      <c r="F177" s="1" t="s">
        <v>120</v>
      </c>
      <c r="G177" s="1" t="s">
        <v>31</v>
      </c>
      <c r="H177" s="1">
        <v>11</v>
      </c>
      <c r="I177" s="54">
        <v>4905.13</v>
      </c>
      <c r="J177" s="55">
        <v>0</v>
      </c>
      <c r="K177" s="54">
        <v>3124.45</v>
      </c>
      <c r="L177" s="54">
        <v>53956.43</v>
      </c>
      <c r="M177" s="54">
        <v>34368.95</v>
      </c>
      <c r="N177" s="54">
        <v>19587.48</v>
      </c>
      <c r="O177" s="1" t="s">
        <v>136</v>
      </c>
      <c r="P177" s="1" t="s">
        <v>713</v>
      </c>
      <c r="Q177" s="1">
        <f>IF(COUNTIF($C$4:C177,C177)=1,1,0)</f>
        <v>0</v>
      </c>
      <c r="R177" s="1">
        <f>IF(COUNTIFS($D$4:D177,D177,$C$4:C177,C177)=1,1,0)</f>
        <v>1</v>
      </c>
    </row>
    <row r="178" ht="15" customHeight="1" spans="1:18">
      <c r="A178" s="1" t="s">
        <v>321</v>
      </c>
      <c r="B178" s="53">
        <v>46077</v>
      </c>
      <c r="C178" s="1" t="s">
        <v>323</v>
      </c>
      <c r="D178" s="1" t="s">
        <v>80</v>
      </c>
      <c r="E178" s="1" t="s">
        <v>16</v>
      </c>
      <c r="F178" s="1" t="s">
        <v>17</v>
      </c>
      <c r="G178" s="1" t="s">
        <v>112</v>
      </c>
      <c r="H178" s="1">
        <v>12</v>
      </c>
      <c r="I178" s="54">
        <v>3677.69</v>
      </c>
      <c r="J178" s="55">
        <v>0.2</v>
      </c>
      <c r="K178" s="54">
        <v>1954.41</v>
      </c>
      <c r="L178" s="54">
        <v>35305.82</v>
      </c>
      <c r="M178" s="54">
        <v>23452.92</v>
      </c>
      <c r="N178" s="54">
        <v>11852.9</v>
      </c>
      <c r="O178" s="1" t="s">
        <v>32</v>
      </c>
      <c r="P178" s="1" t="s">
        <v>713</v>
      </c>
      <c r="Q178" s="1">
        <f>IF(COUNTIF($C$4:C178,C178)=1,1,0)</f>
        <v>0</v>
      </c>
      <c r="R178" s="1">
        <f>IF(COUNTIFS($D$4:D178,D178,$C$4:C178,C178)=1,1,0)</f>
        <v>0</v>
      </c>
    </row>
    <row r="179" ht="15" customHeight="1" spans="1:18">
      <c r="A179" s="1" t="s">
        <v>679</v>
      </c>
      <c r="B179" s="53">
        <v>46087</v>
      </c>
      <c r="C179" s="1" t="s">
        <v>681</v>
      </c>
      <c r="D179" s="1" t="s">
        <v>48</v>
      </c>
      <c r="E179" s="1" t="s">
        <v>55</v>
      </c>
      <c r="F179" s="1" t="s">
        <v>66</v>
      </c>
      <c r="G179" s="1" t="s">
        <v>38</v>
      </c>
      <c r="H179" s="1">
        <v>6</v>
      </c>
      <c r="I179" s="54">
        <v>2018.84</v>
      </c>
      <c r="J179" s="55">
        <v>0</v>
      </c>
      <c r="K179" s="54">
        <v>1059.27</v>
      </c>
      <c r="L179" s="54">
        <v>12113.04</v>
      </c>
      <c r="M179" s="54">
        <v>6355.62</v>
      </c>
      <c r="N179" s="54">
        <v>5757.42</v>
      </c>
      <c r="O179" s="1" t="s">
        <v>26</v>
      </c>
      <c r="P179" s="1" t="s">
        <v>714</v>
      </c>
      <c r="Q179" s="1">
        <f>IF(COUNTIF($C$4:C179,C179)=1,1,0)</f>
        <v>1</v>
      </c>
      <c r="R179" s="1">
        <f>IF(COUNTIFS($D$4:D179,D179,$C$4:C179,C179)=1,1,0)</f>
        <v>1</v>
      </c>
    </row>
    <row r="180" ht="15" customHeight="1" spans="1:18">
      <c r="A180" s="1" t="s">
        <v>134</v>
      </c>
      <c r="B180" s="53">
        <v>46087</v>
      </c>
      <c r="C180" s="1" t="s">
        <v>715</v>
      </c>
      <c r="D180" s="1" t="s">
        <v>48</v>
      </c>
      <c r="E180" s="1" t="s">
        <v>24</v>
      </c>
      <c r="F180" s="1" t="s">
        <v>124</v>
      </c>
      <c r="G180" s="1" t="s">
        <v>90</v>
      </c>
      <c r="H180" s="1">
        <v>6</v>
      </c>
      <c r="I180" s="54">
        <v>1702.48</v>
      </c>
      <c r="J180" s="55">
        <v>0.2</v>
      </c>
      <c r="K180" s="54">
        <v>846.98</v>
      </c>
      <c r="L180" s="54">
        <v>8171.9</v>
      </c>
      <c r="M180" s="54">
        <v>5081.88</v>
      </c>
      <c r="N180" s="54">
        <v>3090.02</v>
      </c>
      <c r="O180" s="1" t="s">
        <v>136</v>
      </c>
      <c r="P180" s="1" t="s">
        <v>714</v>
      </c>
      <c r="Q180" s="1">
        <f>IF(COUNTIF($C$4:C180,C180)=1,1,0)</f>
        <v>1</v>
      </c>
      <c r="R180" s="1">
        <f>IF(COUNTIFS($D$4:D180,D180,$C$4:C180,C180)=1,1,0)</f>
        <v>1</v>
      </c>
    </row>
    <row r="181" ht="15" customHeight="1" spans="1:18">
      <c r="A181" s="1" t="s">
        <v>658</v>
      </c>
      <c r="B181" s="53">
        <v>46091</v>
      </c>
      <c r="C181" s="1" t="s">
        <v>449</v>
      </c>
      <c r="D181" s="1" t="s">
        <v>80</v>
      </c>
      <c r="E181" s="1" t="s">
        <v>61</v>
      </c>
      <c r="F181" s="1" t="s">
        <v>106</v>
      </c>
      <c r="G181" s="1" t="s">
        <v>90</v>
      </c>
      <c r="H181" s="1">
        <v>3</v>
      </c>
      <c r="I181" s="54">
        <v>2301.54</v>
      </c>
      <c r="J181" s="55">
        <v>0</v>
      </c>
      <c r="K181" s="54">
        <v>1257.43</v>
      </c>
      <c r="L181" s="54">
        <v>6904.62</v>
      </c>
      <c r="M181" s="54">
        <v>3772.29</v>
      </c>
      <c r="N181" s="54">
        <v>3132.33</v>
      </c>
      <c r="O181" s="1" t="s">
        <v>50</v>
      </c>
      <c r="P181" s="1" t="s">
        <v>714</v>
      </c>
      <c r="Q181" s="1">
        <f>IF(COUNTIF($C$4:C181,C181)=1,1,0)</f>
        <v>0</v>
      </c>
      <c r="R181" s="1">
        <f>IF(COUNTIFS($D$4:D181,D181,$C$4:C181,C181)=1,1,0)</f>
        <v>1</v>
      </c>
    </row>
    <row r="182" ht="15" customHeight="1" spans="1:18">
      <c r="A182" s="1" t="s">
        <v>39</v>
      </c>
      <c r="B182" s="53">
        <v>46096</v>
      </c>
      <c r="C182" s="1" t="s">
        <v>695</v>
      </c>
      <c r="D182" s="1" t="s">
        <v>41</v>
      </c>
      <c r="E182" s="1" t="s">
        <v>42</v>
      </c>
      <c r="F182" s="1" t="s">
        <v>43</v>
      </c>
      <c r="G182" s="1" t="s">
        <v>31</v>
      </c>
      <c r="H182" s="1">
        <v>3</v>
      </c>
      <c r="I182" s="54">
        <v>1458.15</v>
      </c>
      <c r="J182" s="55">
        <v>0</v>
      </c>
      <c r="K182" s="54">
        <v>787.9</v>
      </c>
      <c r="L182" s="54">
        <v>4374.45</v>
      </c>
      <c r="M182" s="54">
        <v>2363.7</v>
      </c>
      <c r="N182" s="54">
        <v>2010.75</v>
      </c>
      <c r="O182" s="1" t="s">
        <v>44</v>
      </c>
      <c r="P182" s="1" t="s">
        <v>714</v>
      </c>
      <c r="Q182" s="1">
        <f>IF(COUNTIF($C$4:C182,C182)=1,1,0)</f>
        <v>0</v>
      </c>
      <c r="R182" s="1">
        <f>IF(COUNTIFS($D$4:D182,D182,$C$4:C182,C182)=1,1,0)</f>
        <v>0</v>
      </c>
    </row>
    <row r="183" ht="15" customHeight="1" spans="1:18">
      <c r="A183" s="1" t="s">
        <v>257</v>
      </c>
      <c r="B183" s="53">
        <v>46098</v>
      </c>
      <c r="C183" s="1" t="s">
        <v>259</v>
      </c>
      <c r="D183" s="1" t="s">
        <v>41</v>
      </c>
      <c r="E183" s="1" t="s">
        <v>61</v>
      </c>
      <c r="F183" s="1" t="s">
        <v>62</v>
      </c>
      <c r="G183" s="1" t="s">
        <v>31</v>
      </c>
      <c r="H183" s="1">
        <v>5</v>
      </c>
      <c r="I183" s="54">
        <v>1841.18</v>
      </c>
      <c r="J183" s="55">
        <v>0.15</v>
      </c>
      <c r="K183" s="54">
        <v>740.03</v>
      </c>
      <c r="L183" s="54">
        <v>7825.02</v>
      </c>
      <c r="M183" s="54">
        <v>3700.15</v>
      </c>
      <c r="N183" s="54">
        <v>4124.87</v>
      </c>
      <c r="O183" s="1" t="s">
        <v>26</v>
      </c>
      <c r="P183" s="1" t="s">
        <v>714</v>
      </c>
      <c r="Q183" s="1">
        <f>IF(COUNTIF($C$4:C183,C183)=1,1,0)</f>
        <v>1</v>
      </c>
      <c r="R183" s="1">
        <f>IF(COUNTIFS($D$4:D183,D183,$C$4:C183,C183)=1,1,0)</f>
        <v>1</v>
      </c>
    </row>
    <row r="184" ht="15" customHeight="1" spans="1:18">
      <c r="A184" s="1" t="s">
        <v>653</v>
      </c>
      <c r="B184" s="53">
        <v>46099</v>
      </c>
      <c r="C184" s="1" t="s">
        <v>655</v>
      </c>
      <c r="D184" s="1" t="s">
        <v>41</v>
      </c>
      <c r="E184" s="1" t="s">
        <v>16</v>
      </c>
      <c r="F184" s="1" t="s">
        <v>49</v>
      </c>
      <c r="G184" s="1" t="s">
        <v>38</v>
      </c>
      <c r="H184" s="1">
        <v>9</v>
      </c>
      <c r="I184" s="54">
        <v>4188.35</v>
      </c>
      <c r="J184" s="55">
        <v>0.2</v>
      </c>
      <c r="K184" s="54">
        <v>2614.54</v>
      </c>
      <c r="L184" s="54">
        <v>30156.12</v>
      </c>
      <c r="M184" s="54">
        <v>23530.86</v>
      </c>
      <c r="N184" s="54">
        <v>6625.26</v>
      </c>
      <c r="O184" s="1" t="s">
        <v>44</v>
      </c>
      <c r="P184" s="1" t="s">
        <v>714</v>
      </c>
      <c r="Q184" s="1">
        <f>IF(COUNTIF($C$4:C184,C184)=1,1,0)</f>
        <v>1</v>
      </c>
      <c r="R184" s="1">
        <f>IF(COUNTIFS($D$4:D184,D184,$C$4:C184,C184)=1,1,0)</f>
        <v>1</v>
      </c>
    </row>
    <row r="185" ht="15" customHeight="1" spans="1:18">
      <c r="A185" s="1" t="s">
        <v>529</v>
      </c>
      <c r="B185" s="53">
        <v>46108</v>
      </c>
      <c r="C185" s="1" t="s">
        <v>531</v>
      </c>
      <c r="D185" s="1" t="s">
        <v>41</v>
      </c>
      <c r="E185" s="1" t="s">
        <v>24</v>
      </c>
      <c r="F185" s="1" t="s">
        <v>124</v>
      </c>
      <c r="G185" s="1" t="s">
        <v>31</v>
      </c>
      <c r="H185" s="1">
        <v>7</v>
      </c>
      <c r="I185" s="54">
        <v>2035.19</v>
      </c>
      <c r="J185" s="55">
        <v>0</v>
      </c>
      <c r="K185" s="54">
        <v>1040.89</v>
      </c>
      <c r="L185" s="54">
        <v>14246.33</v>
      </c>
      <c r="M185" s="54">
        <v>7286.23</v>
      </c>
      <c r="N185" s="54">
        <v>6960.1</v>
      </c>
      <c r="O185" s="1" t="s">
        <v>32</v>
      </c>
      <c r="P185" s="1" t="s">
        <v>714</v>
      </c>
      <c r="Q185" s="1">
        <f>IF(COUNTIF($C$4:C185,C185)=1,1,0)</f>
        <v>0</v>
      </c>
      <c r="R185" s="1">
        <f>IF(COUNTIFS($D$4:D185,D185,$C$4:C185,C185)=1,1,0)</f>
        <v>1</v>
      </c>
    </row>
    <row r="186" ht="15" customHeight="1" spans="1:18">
      <c r="A186" s="1" t="s">
        <v>641</v>
      </c>
      <c r="B186" s="53">
        <v>46108</v>
      </c>
      <c r="C186" s="1" t="s">
        <v>643</v>
      </c>
      <c r="D186" s="1" t="s">
        <v>80</v>
      </c>
      <c r="E186" s="1" t="s">
        <v>42</v>
      </c>
      <c r="F186" s="1" t="s">
        <v>146</v>
      </c>
      <c r="G186" s="1" t="s">
        <v>112</v>
      </c>
      <c r="H186" s="1">
        <v>8</v>
      </c>
      <c r="I186" s="54">
        <v>4468.71</v>
      </c>
      <c r="J186" s="55">
        <v>0</v>
      </c>
      <c r="K186" s="54">
        <v>1794.85</v>
      </c>
      <c r="L186" s="54">
        <v>35749.68</v>
      </c>
      <c r="M186" s="54">
        <v>14358.8</v>
      </c>
      <c r="N186" s="54">
        <v>21390.88</v>
      </c>
      <c r="O186" s="1" t="s">
        <v>19</v>
      </c>
      <c r="P186" s="1" t="s">
        <v>714</v>
      </c>
      <c r="Q186" s="1">
        <f>IF(COUNTIF($C$4:C186,C186)=1,1,0)</f>
        <v>1</v>
      </c>
      <c r="R186" s="1">
        <f>IF(COUNTIFS($D$4:D186,D186,$C$4:C186,C186)=1,1,0)</f>
        <v>1</v>
      </c>
    </row>
    <row r="187" ht="15" customHeight="1" spans="1:18">
      <c r="A187" s="1" t="s">
        <v>354</v>
      </c>
      <c r="B187" s="53">
        <v>46110</v>
      </c>
      <c r="C187" s="1" t="s">
        <v>355</v>
      </c>
      <c r="D187" s="1" t="s">
        <v>41</v>
      </c>
      <c r="E187" s="1" t="s">
        <v>42</v>
      </c>
      <c r="F187" s="1" t="s">
        <v>146</v>
      </c>
      <c r="G187" s="1" t="s">
        <v>31</v>
      </c>
      <c r="H187" s="1">
        <v>1</v>
      </c>
      <c r="I187" s="54">
        <v>1650.86</v>
      </c>
      <c r="J187" s="55">
        <v>0</v>
      </c>
      <c r="K187" s="54">
        <v>955.08</v>
      </c>
      <c r="L187" s="54">
        <v>1650.86</v>
      </c>
      <c r="M187" s="54">
        <v>955.08</v>
      </c>
      <c r="N187" s="54">
        <v>695.78</v>
      </c>
      <c r="O187" s="1" t="s">
        <v>26</v>
      </c>
      <c r="P187" s="1" t="s">
        <v>714</v>
      </c>
      <c r="Q187" s="1">
        <f>IF(COUNTIF($C$4:C187,C187)=1,1,0)</f>
        <v>0</v>
      </c>
      <c r="R187" s="1">
        <f>IF(COUNTIFS($D$4:D187,D187,$C$4:C187,C187)=1,1,0)</f>
        <v>1</v>
      </c>
    </row>
    <row r="188" ht="15" customHeight="1" spans="1:18">
      <c r="A188" s="1" t="s">
        <v>95</v>
      </c>
      <c r="B188" s="53">
        <v>46110</v>
      </c>
      <c r="C188" s="1" t="s">
        <v>715</v>
      </c>
      <c r="D188" s="1" t="s">
        <v>54</v>
      </c>
      <c r="E188" s="1" t="s">
        <v>61</v>
      </c>
      <c r="F188" s="1" t="s">
        <v>94</v>
      </c>
      <c r="G188" s="1" t="s">
        <v>31</v>
      </c>
      <c r="H188" s="1">
        <v>3</v>
      </c>
      <c r="I188" s="54">
        <v>3293.43</v>
      </c>
      <c r="J188" s="55">
        <v>0.15</v>
      </c>
      <c r="K188" s="54">
        <v>1533.05</v>
      </c>
      <c r="L188" s="54">
        <v>8398.25</v>
      </c>
      <c r="M188" s="54">
        <v>4599.15</v>
      </c>
      <c r="N188" s="54">
        <v>3799.1</v>
      </c>
      <c r="O188" s="1" t="s">
        <v>26</v>
      </c>
      <c r="P188" s="1" t="s">
        <v>714</v>
      </c>
      <c r="Q188" s="1">
        <f>IF(COUNTIF($C$4:C188,C188)=1,1,0)</f>
        <v>0</v>
      </c>
      <c r="R188" s="1">
        <f>IF(COUNTIFS($D$4:D188,D188,$C$4:C188,C188)=1,1,0)</f>
        <v>1</v>
      </c>
    </row>
    <row r="189" ht="15" customHeight="1" spans="1:18">
      <c r="A189" s="1" t="s">
        <v>603</v>
      </c>
      <c r="B189" s="53">
        <v>46111</v>
      </c>
      <c r="C189" s="1" t="s">
        <v>605</v>
      </c>
      <c r="D189" s="1" t="s">
        <v>54</v>
      </c>
      <c r="E189" s="1" t="s">
        <v>24</v>
      </c>
      <c r="F189" s="1" t="s">
        <v>235</v>
      </c>
      <c r="G189" s="1" t="s">
        <v>57</v>
      </c>
      <c r="H189" s="1">
        <v>5</v>
      </c>
      <c r="I189" s="54">
        <v>1253.51</v>
      </c>
      <c r="J189" s="55">
        <v>0.2</v>
      </c>
      <c r="K189" s="54">
        <v>773.68</v>
      </c>
      <c r="L189" s="54">
        <v>5014.04</v>
      </c>
      <c r="M189" s="54">
        <v>3868.4</v>
      </c>
      <c r="N189" s="54">
        <v>1145.64</v>
      </c>
      <c r="O189" s="1" t="s">
        <v>136</v>
      </c>
      <c r="P189" s="1" t="s">
        <v>714</v>
      </c>
      <c r="Q189" s="1">
        <f>IF(COUNTIF($C$4:C189,C189)=1,1,0)</f>
        <v>0</v>
      </c>
      <c r="R189" s="1">
        <f>IF(COUNTIFS($D$4:D189,D189,$C$4:C189,C189)=1,1,0)</f>
        <v>1</v>
      </c>
    </row>
    <row r="190" ht="15" customHeight="1" spans="1:18">
      <c r="A190" s="1" t="s">
        <v>312</v>
      </c>
      <c r="B190" s="53">
        <v>46112</v>
      </c>
      <c r="C190" s="1" t="s">
        <v>314</v>
      </c>
      <c r="D190" s="1" t="s">
        <v>54</v>
      </c>
      <c r="E190" s="1" t="s">
        <v>42</v>
      </c>
      <c r="F190" s="1" t="s">
        <v>89</v>
      </c>
      <c r="G190" s="1" t="s">
        <v>38</v>
      </c>
      <c r="H190" s="1">
        <v>3</v>
      </c>
      <c r="I190" s="54">
        <v>3490.59</v>
      </c>
      <c r="J190" s="55">
        <v>0</v>
      </c>
      <c r="K190" s="54">
        <v>2224.22</v>
      </c>
      <c r="L190" s="54">
        <v>10471.77</v>
      </c>
      <c r="M190" s="54">
        <v>6672.66</v>
      </c>
      <c r="N190" s="54">
        <v>3799.11</v>
      </c>
      <c r="O190" s="1" t="s">
        <v>32</v>
      </c>
      <c r="P190" s="1" t="s">
        <v>714</v>
      </c>
      <c r="Q190" s="1">
        <f>IF(COUNTIF($C$4:C190,C190)=1,1,0)</f>
        <v>0</v>
      </c>
      <c r="R190" s="1">
        <f>IF(COUNTIFS($D$4:D190,D190,$C$4:C190,C190)=1,1,0)</f>
        <v>1</v>
      </c>
    </row>
    <row r="191" ht="15" customHeight="1" spans="1:18">
      <c r="A191" s="1" t="s">
        <v>460</v>
      </c>
      <c r="B191" s="53">
        <v>46113</v>
      </c>
      <c r="C191" s="1" t="s">
        <v>462</v>
      </c>
      <c r="D191" s="1" t="s">
        <v>54</v>
      </c>
      <c r="E191" s="1" t="s">
        <v>16</v>
      </c>
      <c r="F191" s="1" t="s">
        <v>17</v>
      </c>
      <c r="G191" s="1" t="s">
        <v>18</v>
      </c>
      <c r="H191" s="1">
        <v>8</v>
      </c>
      <c r="I191" s="54">
        <v>665.31</v>
      </c>
      <c r="J191" s="55">
        <v>0.1</v>
      </c>
      <c r="K191" s="54">
        <v>364.87</v>
      </c>
      <c r="L191" s="54">
        <v>4790.23</v>
      </c>
      <c r="M191" s="54">
        <v>2918.96</v>
      </c>
      <c r="N191" s="54">
        <v>1871.27</v>
      </c>
      <c r="O191" s="1" t="s">
        <v>136</v>
      </c>
      <c r="P191" s="1" t="s">
        <v>716</v>
      </c>
      <c r="Q191" s="1">
        <f>IF(COUNTIF($C$4:C191,C191)=1,1,0)</f>
        <v>0</v>
      </c>
      <c r="R191" s="1">
        <f>IF(COUNTIFS($D$4:D191,D191,$C$4:C191,C191)=1,1,0)</f>
        <v>1</v>
      </c>
    </row>
    <row r="192" ht="15" customHeight="1" spans="1:18">
      <c r="A192" s="1" t="s">
        <v>128</v>
      </c>
      <c r="B192" s="53">
        <v>46114</v>
      </c>
      <c r="C192" s="1" t="s">
        <v>130</v>
      </c>
      <c r="D192" s="1" t="s">
        <v>80</v>
      </c>
      <c r="E192" s="1" t="s">
        <v>24</v>
      </c>
      <c r="F192" s="1" t="s">
        <v>131</v>
      </c>
      <c r="G192" s="1" t="s">
        <v>112</v>
      </c>
      <c r="H192" s="1">
        <v>10</v>
      </c>
      <c r="I192" s="54">
        <v>4129.53</v>
      </c>
      <c r="J192" s="55">
        <v>0.05</v>
      </c>
      <c r="K192" s="54">
        <v>2572.72</v>
      </c>
      <c r="L192" s="54">
        <v>39230.53</v>
      </c>
      <c r="M192" s="54">
        <v>25727.2</v>
      </c>
      <c r="N192" s="54">
        <v>13503.33</v>
      </c>
      <c r="O192" s="1" t="s">
        <v>26</v>
      </c>
      <c r="P192" s="1" t="s">
        <v>716</v>
      </c>
      <c r="Q192" s="1">
        <f>IF(COUNTIF($C$4:C192,C192)=1,1,0)</f>
        <v>1</v>
      </c>
      <c r="R192" s="1">
        <f>IF(COUNTIFS($D$4:D192,D192,$C$4:C192,C192)=1,1,0)</f>
        <v>1</v>
      </c>
    </row>
    <row r="193" ht="15" customHeight="1" spans="1:18">
      <c r="A193" s="1" t="s">
        <v>371</v>
      </c>
      <c r="B193" s="53">
        <v>46114</v>
      </c>
      <c r="C193" s="1" t="s">
        <v>373</v>
      </c>
      <c r="D193" s="1" t="s">
        <v>54</v>
      </c>
      <c r="E193" s="1" t="s">
        <v>24</v>
      </c>
      <c r="F193" s="1" t="s">
        <v>124</v>
      </c>
      <c r="G193" s="1" t="s">
        <v>57</v>
      </c>
      <c r="H193" s="1">
        <v>4</v>
      </c>
      <c r="I193" s="54">
        <v>3668.51</v>
      </c>
      <c r="J193" s="55">
        <v>0.1</v>
      </c>
      <c r="K193" s="54">
        <v>1915.72</v>
      </c>
      <c r="L193" s="54">
        <v>13206.64</v>
      </c>
      <c r="M193" s="54">
        <v>7662.88</v>
      </c>
      <c r="N193" s="54">
        <v>5543.76</v>
      </c>
      <c r="O193" s="1" t="s">
        <v>32</v>
      </c>
      <c r="P193" s="1" t="s">
        <v>716</v>
      </c>
      <c r="Q193" s="1">
        <f>IF(COUNTIF($C$4:C193,C193)=1,1,0)</f>
        <v>1</v>
      </c>
      <c r="R193" s="1">
        <f>IF(COUNTIFS($D$4:D193,D193,$C$4:C193,C193)=1,1,0)</f>
        <v>1</v>
      </c>
    </row>
    <row r="194" ht="15" customHeight="1" spans="1:18">
      <c r="A194" s="1" t="s">
        <v>265</v>
      </c>
      <c r="B194" s="53">
        <v>46117</v>
      </c>
      <c r="C194" s="1" t="s">
        <v>267</v>
      </c>
      <c r="D194" s="1" t="s">
        <v>41</v>
      </c>
      <c r="E194" s="1" t="s">
        <v>55</v>
      </c>
      <c r="F194" s="1" t="s">
        <v>154</v>
      </c>
      <c r="G194" s="1" t="s">
        <v>57</v>
      </c>
      <c r="H194" s="1">
        <v>8</v>
      </c>
      <c r="I194" s="54">
        <v>2479.58</v>
      </c>
      <c r="J194" s="55">
        <v>0.1</v>
      </c>
      <c r="K194" s="54">
        <v>1341.29</v>
      </c>
      <c r="L194" s="54">
        <v>17852.98</v>
      </c>
      <c r="M194" s="54">
        <v>10730.32</v>
      </c>
      <c r="N194" s="54">
        <v>7122.66</v>
      </c>
      <c r="O194" s="1" t="s">
        <v>136</v>
      </c>
      <c r="P194" s="1" t="s">
        <v>716</v>
      </c>
      <c r="Q194" s="1">
        <f>IF(COUNTIF($C$4:C194,C194)=1,1,0)</f>
        <v>0</v>
      </c>
      <c r="R194" s="1">
        <f>IF(COUNTIFS($D$4:D194,D194,$C$4:C194,C194)=1,1,0)</f>
        <v>1</v>
      </c>
    </row>
    <row r="195" ht="15" customHeight="1" spans="1:18">
      <c r="A195" s="1" t="s">
        <v>175</v>
      </c>
      <c r="B195" s="53">
        <v>46119</v>
      </c>
      <c r="C195" s="1" t="s">
        <v>177</v>
      </c>
      <c r="D195" s="1" t="s">
        <v>41</v>
      </c>
      <c r="E195" s="1" t="s">
        <v>61</v>
      </c>
      <c r="F195" s="1" t="s">
        <v>94</v>
      </c>
      <c r="G195" s="1" t="s">
        <v>18</v>
      </c>
      <c r="H195" s="1">
        <v>3</v>
      </c>
      <c r="I195" s="54">
        <v>2893.36</v>
      </c>
      <c r="J195" s="55">
        <v>0.05</v>
      </c>
      <c r="K195" s="54">
        <v>1270.57</v>
      </c>
      <c r="L195" s="54">
        <v>8246.08</v>
      </c>
      <c r="M195" s="54">
        <v>3811.71</v>
      </c>
      <c r="N195" s="54">
        <v>4434.37</v>
      </c>
      <c r="O195" s="1" t="s">
        <v>44</v>
      </c>
      <c r="P195" s="1" t="s">
        <v>716</v>
      </c>
      <c r="Q195" s="1">
        <f>IF(COUNTIF($C$4:C195,C195)=1,1,0)</f>
        <v>1</v>
      </c>
      <c r="R195" s="1">
        <f>IF(COUNTIFS($D$4:D195,D195,$C$4:C195,C195)=1,1,0)</f>
        <v>1</v>
      </c>
    </row>
    <row r="196" ht="15" customHeight="1" spans="1:18">
      <c r="A196" s="1" t="s">
        <v>330</v>
      </c>
      <c r="B196" s="53">
        <v>46122</v>
      </c>
      <c r="C196" s="1" t="s">
        <v>332</v>
      </c>
      <c r="D196" s="1" t="s">
        <v>80</v>
      </c>
      <c r="E196" s="1" t="s">
        <v>24</v>
      </c>
      <c r="F196" s="1" t="s">
        <v>25</v>
      </c>
      <c r="G196" s="1" t="s">
        <v>112</v>
      </c>
      <c r="H196" s="1">
        <v>4</v>
      </c>
      <c r="I196" s="54">
        <v>4081.03</v>
      </c>
      <c r="J196" s="55">
        <v>0</v>
      </c>
      <c r="K196" s="54">
        <v>2331.28</v>
      </c>
      <c r="L196" s="54">
        <v>16324.12</v>
      </c>
      <c r="M196" s="54">
        <v>9325.12</v>
      </c>
      <c r="N196" s="54">
        <v>6999</v>
      </c>
      <c r="O196" s="1" t="s">
        <v>19</v>
      </c>
      <c r="P196" s="1" t="s">
        <v>716</v>
      </c>
      <c r="Q196" s="1">
        <f>IF(COUNTIF($C$4:C196,C196)=1,1,0)</f>
        <v>1</v>
      </c>
      <c r="R196" s="1">
        <f>IF(COUNTIFS($D$4:D196,D196,$C$4:C196,C196)=1,1,0)</f>
        <v>1</v>
      </c>
    </row>
    <row r="197" ht="15" customHeight="1" spans="1:18">
      <c r="A197" s="1" t="s">
        <v>676</v>
      </c>
      <c r="B197" s="53">
        <v>46126</v>
      </c>
      <c r="C197" s="1" t="s">
        <v>678</v>
      </c>
      <c r="D197" s="1" t="s">
        <v>54</v>
      </c>
      <c r="E197" s="1" t="s">
        <v>42</v>
      </c>
      <c r="F197" s="1" t="s">
        <v>89</v>
      </c>
      <c r="G197" s="1" t="s">
        <v>38</v>
      </c>
      <c r="H197" s="1">
        <v>6</v>
      </c>
      <c r="I197" s="54">
        <v>2149.47</v>
      </c>
      <c r="J197" s="55">
        <v>0</v>
      </c>
      <c r="K197" s="54">
        <v>1228.6</v>
      </c>
      <c r="L197" s="54">
        <v>12896.82</v>
      </c>
      <c r="M197" s="54">
        <v>7371.6</v>
      </c>
      <c r="N197" s="54">
        <v>5525.22</v>
      </c>
      <c r="O197" s="1" t="s">
        <v>50</v>
      </c>
      <c r="P197" s="1" t="s">
        <v>716</v>
      </c>
      <c r="Q197" s="1">
        <f>IF(COUNTIF($C$4:C197,C197)=1,1,0)</f>
        <v>1</v>
      </c>
      <c r="R197" s="1">
        <f>IF(COUNTIFS($D$4:D197,D197,$C$4:C197,C197)=1,1,0)</f>
        <v>1</v>
      </c>
    </row>
    <row r="198" ht="15" customHeight="1" spans="1:18">
      <c r="A198" s="1" t="s">
        <v>386</v>
      </c>
      <c r="B198" s="53">
        <v>46132</v>
      </c>
      <c r="C198" s="1" t="s">
        <v>388</v>
      </c>
      <c r="D198" s="1" t="s">
        <v>48</v>
      </c>
      <c r="E198" s="1" t="s">
        <v>55</v>
      </c>
      <c r="F198" s="1" t="s">
        <v>56</v>
      </c>
      <c r="G198" s="1" t="s">
        <v>18</v>
      </c>
      <c r="H198" s="1">
        <v>4</v>
      </c>
      <c r="I198" s="54">
        <v>1712.46</v>
      </c>
      <c r="J198" s="55">
        <v>0.2</v>
      </c>
      <c r="K198" s="54">
        <v>987.91</v>
      </c>
      <c r="L198" s="54">
        <v>5479.87</v>
      </c>
      <c r="M198" s="54">
        <v>3951.64</v>
      </c>
      <c r="N198" s="54">
        <v>1528.23</v>
      </c>
      <c r="O198" s="1" t="s">
        <v>26</v>
      </c>
      <c r="P198" s="1" t="s">
        <v>716</v>
      </c>
      <c r="Q198" s="1">
        <f>IF(COUNTIF($C$4:C198,C198)=1,1,0)</f>
        <v>0</v>
      </c>
      <c r="R198" s="1">
        <f>IF(COUNTIFS($D$4:D198,D198,$C$4:C198,C198)=1,1,0)</f>
        <v>1</v>
      </c>
    </row>
    <row r="199" ht="15" customHeight="1" spans="1:18">
      <c r="A199" s="1" t="s">
        <v>348</v>
      </c>
      <c r="B199" s="53">
        <v>46140</v>
      </c>
      <c r="C199" s="1" t="s">
        <v>350</v>
      </c>
      <c r="D199" s="1" t="s">
        <v>80</v>
      </c>
      <c r="E199" s="1" t="s">
        <v>16</v>
      </c>
      <c r="F199" s="1" t="s">
        <v>49</v>
      </c>
      <c r="G199" s="1" t="s">
        <v>112</v>
      </c>
      <c r="H199" s="1">
        <v>3</v>
      </c>
      <c r="I199" s="54">
        <v>2239.91</v>
      </c>
      <c r="J199" s="55">
        <v>0.1</v>
      </c>
      <c r="K199" s="54">
        <v>1010.14</v>
      </c>
      <c r="L199" s="54">
        <v>6047.76</v>
      </c>
      <c r="M199" s="54">
        <v>3030.42</v>
      </c>
      <c r="N199" s="54">
        <v>3017.34</v>
      </c>
      <c r="O199" s="1" t="s">
        <v>32</v>
      </c>
      <c r="P199" s="1" t="s">
        <v>716</v>
      </c>
      <c r="Q199" s="1">
        <f>IF(COUNTIF($C$4:C199,C199)=1,1,0)</f>
        <v>1</v>
      </c>
      <c r="R199" s="1">
        <f>IF(COUNTIFS($D$4:D199,D199,$C$4:C199,C199)=1,1,0)</f>
        <v>1</v>
      </c>
    </row>
    <row r="200" ht="15" customHeight="1" spans="1:18">
      <c r="A200" s="1" t="s">
        <v>556</v>
      </c>
      <c r="B200" s="53">
        <v>46140</v>
      </c>
      <c r="C200" s="1" t="s">
        <v>557</v>
      </c>
      <c r="D200" s="1" t="s">
        <v>80</v>
      </c>
      <c r="E200" s="1" t="s">
        <v>61</v>
      </c>
      <c r="F200" s="1" t="s">
        <v>120</v>
      </c>
      <c r="G200" s="1" t="s">
        <v>18</v>
      </c>
      <c r="H200" s="1">
        <v>11</v>
      </c>
      <c r="I200" s="54">
        <v>4418.53</v>
      </c>
      <c r="J200" s="55">
        <v>0</v>
      </c>
      <c r="K200" s="54">
        <v>1967.5</v>
      </c>
      <c r="L200" s="54">
        <v>48603.83</v>
      </c>
      <c r="M200" s="54">
        <v>21642.5</v>
      </c>
      <c r="N200" s="54">
        <v>26961.33</v>
      </c>
      <c r="O200" s="1" t="s">
        <v>44</v>
      </c>
      <c r="P200" s="1" t="s">
        <v>716</v>
      </c>
      <c r="Q200" s="1">
        <f>IF(COUNTIF($C$4:C200,C200)=1,1,0)</f>
        <v>1</v>
      </c>
      <c r="R200" s="1">
        <f>IF(COUNTIFS($D$4:D200,D200,$C$4:C200,C200)=1,1,0)</f>
        <v>1</v>
      </c>
    </row>
    <row r="201" ht="15" customHeight="1" spans="1:18">
      <c r="A201" s="1" t="s">
        <v>67</v>
      </c>
      <c r="B201" s="53">
        <v>46142</v>
      </c>
      <c r="C201" s="1" t="s">
        <v>69</v>
      </c>
      <c r="D201" s="1" t="s">
        <v>41</v>
      </c>
      <c r="E201" s="1" t="s">
        <v>16</v>
      </c>
      <c r="F201" s="1" t="s">
        <v>37</v>
      </c>
      <c r="G201" s="1" t="s">
        <v>31</v>
      </c>
      <c r="H201" s="1">
        <v>11</v>
      </c>
      <c r="I201" s="54">
        <v>2580.45</v>
      </c>
      <c r="J201" s="55">
        <v>0.15</v>
      </c>
      <c r="K201" s="54">
        <v>1380.05</v>
      </c>
      <c r="L201" s="54">
        <v>24127.21</v>
      </c>
      <c r="M201" s="54">
        <v>15180.55</v>
      </c>
      <c r="N201" s="54">
        <v>8946.66</v>
      </c>
      <c r="O201" s="1" t="s">
        <v>26</v>
      </c>
      <c r="P201" s="1" t="s">
        <v>716</v>
      </c>
      <c r="Q201" s="1">
        <f>IF(COUNTIF($C$4:C201,C201)=1,1,0)</f>
        <v>1</v>
      </c>
      <c r="R201" s="1">
        <f>IF(COUNTIFS($D$4:D201,D201,$C$4:C201,C201)=1,1,0)</f>
        <v>1</v>
      </c>
    </row>
    <row r="202" ht="15" customHeight="1" spans="1:18">
      <c r="A202" s="1" t="s">
        <v>532</v>
      </c>
      <c r="B202" s="53">
        <v>46144</v>
      </c>
      <c r="C202" s="1" t="s">
        <v>534</v>
      </c>
      <c r="D202" s="1" t="s">
        <v>54</v>
      </c>
      <c r="E202" s="1" t="s">
        <v>55</v>
      </c>
      <c r="F202" s="1" t="s">
        <v>56</v>
      </c>
      <c r="G202" s="1" t="s">
        <v>112</v>
      </c>
      <c r="H202" s="1">
        <v>9</v>
      </c>
      <c r="I202" s="54">
        <v>2266.57</v>
      </c>
      <c r="J202" s="55">
        <v>0.2</v>
      </c>
      <c r="K202" s="54">
        <v>1210.07</v>
      </c>
      <c r="L202" s="54">
        <v>16319.3</v>
      </c>
      <c r="M202" s="54">
        <v>10890.63</v>
      </c>
      <c r="N202" s="54">
        <v>5428.67</v>
      </c>
      <c r="O202" s="1" t="s">
        <v>32</v>
      </c>
      <c r="P202" s="1" t="s">
        <v>717</v>
      </c>
      <c r="Q202" s="1">
        <f>IF(COUNTIF($C$4:C202,C202)=1,1,0)</f>
        <v>1</v>
      </c>
      <c r="R202" s="1">
        <f>IF(COUNTIFS($D$4:D202,D202,$C$4:C202,C202)=1,1,0)</f>
        <v>1</v>
      </c>
    </row>
    <row r="203" ht="15" customHeight="1" spans="1:18">
      <c r="A203" s="1" t="s">
        <v>428</v>
      </c>
      <c r="B203" s="53">
        <v>46145</v>
      </c>
      <c r="C203" s="1" t="s">
        <v>430</v>
      </c>
      <c r="D203" s="1" t="s">
        <v>80</v>
      </c>
      <c r="E203" s="1" t="s">
        <v>55</v>
      </c>
      <c r="F203" s="1" t="s">
        <v>66</v>
      </c>
      <c r="G203" s="1" t="s">
        <v>31</v>
      </c>
      <c r="H203" s="1">
        <v>8</v>
      </c>
      <c r="I203" s="54">
        <v>3985.07</v>
      </c>
      <c r="J203" s="55">
        <v>0</v>
      </c>
      <c r="K203" s="54">
        <v>2113.2</v>
      </c>
      <c r="L203" s="54">
        <v>31880.56</v>
      </c>
      <c r="M203" s="54">
        <v>16905.6</v>
      </c>
      <c r="N203" s="54">
        <v>14974.96</v>
      </c>
      <c r="O203" s="1" t="s">
        <v>136</v>
      </c>
      <c r="P203" s="1" t="s">
        <v>717</v>
      </c>
      <c r="Q203" s="1">
        <f>IF(COUNTIF($C$4:C203,C203)=1,1,0)</f>
        <v>1</v>
      </c>
      <c r="R203" s="1">
        <f>IF(COUNTIFS($D$4:D203,D203,$C$4:C203,C203)=1,1,0)</f>
        <v>1</v>
      </c>
    </row>
    <row r="204" ht="15" customHeight="1" spans="1:18">
      <c r="A204" s="1" t="s">
        <v>300</v>
      </c>
      <c r="B204" s="53">
        <v>46148</v>
      </c>
      <c r="C204" s="1" t="s">
        <v>718</v>
      </c>
      <c r="D204" s="1" t="s">
        <v>30</v>
      </c>
      <c r="E204" s="1" t="s">
        <v>16</v>
      </c>
      <c r="F204" s="1" t="s">
        <v>102</v>
      </c>
      <c r="G204" s="1" t="s">
        <v>31</v>
      </c>
      <c r="H204" s="1">
        <v>11</v>
      </c>
      <c r="I204" s="54">
        <v>1121.92</v>
      </c>
      <c r="J204" s="55">
        <v>0.05</v>
      </c>
      <c r="K204" s="54">
        <v>667.3</v>
      </c>
      <c r="L204" s="54">
        <v>11724.06</v>
      </c>
      <c r="M204" s="54">
        <v>7340.3</v>
      </c>
      <c r="N204" s="54">
        <v>4383.76</v>
      </c>
      <c r="O204" s="1" t="s">
        <v>32</v>
      </c>
      <c r="P204" s="1" t="s">
        <v>717</v>
      </c>
      <c r="Q204" s="1">
        <f>IF(COUNTIF($C$4:C204,C204)=1,1,0)</f>
        <v>1</v>
      </c>
      <c r="R204" s="1">
        <f>IF(COUNTIFS($D$4:D204,D204,$C$4:C204,C204)=1,1,0)</f>
        <v>1</v>
      </c>
    </row>
    <row r="205" ht="15" customHeight="1" spans="1:18">
      <c r="A205" s="1" t="s">
        <v>218</v>
      </c>
      <c r="B205" s="53">
        <v>46151</v>
      </c>
      <c r="C205" s="1" t="s">
        <v>220</v>
      </c>
      <c r="D205" s="1" t="s">
        <v>80</v>
      </c>
      <c r="E205" s="1" t="s">
        <v>55</v>
      </c>
      <c r="F205" s="1" t="s">
        <v>56</v>
      </c>
      <c r="G205" s="1" t="s">
        <v>38</v>
      </c>
      <c r="H205" s="1">
        <v>9</v>
      </c>
      <c r="I205" s="54">
        <v>4592.39</v>
      </c>
      <c r="J205" s="55">
        <v>0</v>
      </c>
      <c r="K205" s="54">
        <v>2790.42</v>
      </c>
      <c r="L205" s="54">
        <v>41331.51</v>
      </c>
      <c r="M205" s="54">
        <v>25113.78</v>
      </c>
      <c r="N205" s="54">
        <v>16217.73</v>
      </c>
      <c r="O205" s="1" t="s">
        <v>44</v>
      </c>
      <c r="P205" s="1" t="s">
        <v>717</v>
      </c>
      <c r="Q205" s="1">
        <f>IF(COUNTIF($C$4:C205,C205)=1,1,0)</f>
        <v>0</v>
      </c>
      <c r="R205" s="1">
        <f>IF(COUNTIFS($D$4:D205,D205,$C$4:C205,C205)=1,1,0)</f>
        <v>0</v>
      </c>
    </row>
    <row r="206" ht="15" customHeight="1" spans="1:18">
      <c r="A206" s="1" t="s">
        <v>399</v>
      </c>
      <c r="B206" s="53">
        <v>46152</v>
      </c>
      <c r="C206" s="1" t="s">
        <v>375</v>
      </c>
      <c r="D206" s="1" t="s">
        <v>41</v>
      </c>
      <c r="E206" s="1" t="s">
        <v>55</v>
      </c>
      <c r="F206" s="1" t="s">
        <v>154</v>
      </c>
      <c r="G206" s="1" t="s">
        <v>90</v>
      </c>
      <c r="H206" s="1">
        <v>4</v>
      </c>
      <c r="I206" s="54">
        <v>2675.94</v>
      </c>
      <c r="J206" s="55">
        <v>0.1</v>
      </c>
      <c r="K206" s="54">
        <v>1320.04</v>
      </c>
      <c r="L206" s="54">
        <v>9633.38</v>
      </c>
      <c r="M206" s="54">
        <v>5280.16</v>
      </c>
      <c r="N206" s="54">
        <v>4353.22</v>
      </c>
      <c r="O206" s="1" t="s">
        <v>19</v>
      </c>
      <c r="P206" s="1" t="s">
        <v>717</v>
      </c>
      <c r="Q206" s="1">
        <f>IF(COUNTIF($C$4:C206,C206)=1,1,0)</f>
        <v>0</v>
      </c>
      <c r="R206" s="1">
        <f>IF(COUNTIFS($D$4:D206,D206,$C$4:C206,C206)=1,1,0)</f>
        <v>1</v>
      </c>
    </row>
    <row r="207" ht="15" customHeight="1" spans="1:18">
      <c r="A207" s="1" t="s">
        <v>155</v>
      </c>
      <c r="B207" s="53">
        <v>46153</v>
      </c>
      <c r="C207" s="1" t="s">
        <v>157</v>
      </c>
      <c r="D207" s="1" t="s">
        <v>48</v>
      </c>
      <c r="E207" s="1" t="s">
        <v>42</v>
      </c>
      <c r="F207" s="1" t="s">
        <v>158</v>
      </c>
      <c r="G207" s="1" t="s">
        <v>18</v>
      </c>
      <c r="H207" s="1">
        <v>12</v>
      </c>
      <c r="I207" s="54">
        <v>2751.21</v>
      </c>
      <c r="J207" s="55">
        <v>0.1</v>
      </c>
      <c r="K207" s="54">
        <v>1547.87</v>
      </c>
      <c r="L207" s="54">
        <v>29713.07</v>
      </c>
      <c r="M207" s="54">
        <v>18574.44</v>
      </c>
      <c r="N207" s="54">
        <v>11138.63</v>
      </c>
      <c r="O207" s="1" t="s">
        <v>136</v>
      </c>
      <c r="P207" s="1" t="s">
        <v>717</v>
      </c>
      <c r="Q207" s="1">
        <f>IF(COUNTIF($C$4:C207,C207)=1,1,0)</f>
        <v>1</v>
      </c>
      <c r="R207" s="1">
        <f>IF(COUNTIFS($D$4:D207,D207,$C$4:C207,C207)=1,1,0)</f>
        <v>1</v>
      </c>
    </row>
    <row r="208" ht="15" customHeight="1" spans="1:18">
      <c r="A208" s="1" t="s">
        <v>625</v>
      </c>
      <c r="B208" s="53">
        <v>46156</v>
      </c>
      <c r="C208" s="1" t="s">
        <v>627</v>
      </c>
      <c r="D208" s="1" t="s">
        <v>30</v>
      </c>
      <c r="E208" s="1" t="s">
        <v>24</v>
      </c>
      <c r="F208" s="1" t="s">
        <v>124</v>
      </c>
      <c r="G208" s="1" t="s">
        <v>90</v>
      </c>
      <c r="H208" s="1">
        <v>5</v>
      </c>
      <c r="I208" s="54">
        <v>3455.92</v>
      </c>
      <c r="J208" s="55">
        <v>0</v>
      </c>
      <c r="K208" s="54">
        <v>1598.96</v>
      </c>
      <c r="L208" s="54">
        <v>17279.6</v>
      </c>
      <c r="M208" s="54">
        <v>7994.8</v>
      </c>
      <c r="N208" s="54">
        <v>9284.8</v>
      </c>
      <c r="O208" s="1" t="s">
        <v>32</v>
      </c>
      <c r="P208" s="1" t="s">
        <v>717</v>
      </c>
      <c r="Q208" s="1">
        <f>IF(COUNTIF($C$4:C208,C208)=1,1,0)</f>
        <v>1</v>
      </c>
      <c r="R208" s="1">
        <f>IF(COUNTIFS($D$4:D208,D208,$C$4:C208,C208)=1,1,0)</f>
        <v>1</v>
      </c>
    </row>
    <row r="209" ht="15" customHeight="1" spans="1:18">
      <c r="A209" s="1" t="s">
        <v>453</v>
      </c>
      <c r="B209" s="53">
        <v>46157</v>
      </c>
      <c r="C209" s="1" t="s">
        <v>455</v>
      </c>
      <c r="D209" s="1" t="s">
        <v>30</v>
      </c>
      <c r="E209" s="1" t="s">
        <v>16</v>
      </c>
      <c r="F209" s="1" t="s">
        <v>49</v>
      </c>
      <c r="G209" s="1" t="s">
        <v>57</v>
      </c>
      <c r="H209" s="1">
        <v>5</v>
      </c>
      <c r="I209" s="54">
        <v>3564.11</v>
      </c>
      <c r="J209" s="55">
        <v>0.05</v>
      </c>
      <c r="K209" s="54">
        <v>2207.36</v>
      </c>
      <c r="L209" s="54">
        <v>16929.52</v>
      </c>
      <c r="M209" s="54">
        <v>11036.8</v>
      </c>
      <c r="N209" s="54">
        <v>5892.72</v>
      </c>
      <c r="O209" s="1" t="s">
        <v>19</v>
      </c>
      <c r="P209" s="1" t="s">
        <v>717</v>
      </c>
      <c r="Q209" s="1">
        <f>IF(COUNTIF($C$4:C209,C209)=1,1,0)</f>
        <v>1</v>
      </c>
      <c r="R209" s="1">
        <f>IF(COUNTIFS($D$4:D209,D209,$C$4:C209,C209)=1,1,0)</f>
        <v>1</v>
      </c>
    </row>
    <row r="210" ht="15" customHeight="1" spans="1:18">
      <c r="A210" s="1" t="s">
        <v>184</v>
      </c>
      <c r="B210" s="53">
        <v>46161</v>
      </c>
      <c r="C210" s="1" t="s">
        <v>186</v>
      </c>
      <c r="D210" s="1" t="s">
        <v>48</v>
      </c>
      <c r="E210" s="1" t="s">
        <v>42</v>
      </c>
      <c r="F210" s="1" t="s">
        <v>89</v>
      </c>
      <c r="G210" s="1" t="s">
        <v>31</v>
      </c>
      <c r="H210" s="1">
        <v>3</v>
      </c>
      <c r="I210" s="54">
        <v>4984.64</v>
      </c>
      <c r="J210" s="55">
        <v>0.2</v>
      </c>
      <c r="K210" s="54">
        <v>2537.04</v>
      </c>
      <c r="L210" s="54">
        <v>11963.14</v>
      </c>
      <c r="M210" s="54">
        <v>7611.12</v>
      </c>
      <c r="N210" s="54">
        <v>4352.02</v>
      </c>
      <c r="O210" s="1" t="s">
        <v>44</v>
      </c>
      <c r="P210" s="1" t="s">
        <v>717</v>
      </c>
      <c r="Q210" s="1">
        <f>IF(COUNTIF($C$4:C210,C210)=1,1,0)</f>
        <v>0</v>
      </c>
      <c r="R210" s="1">
        <f>IF(COUNTIFS($D$4:D210,D210,$C$4:C210,C210)=1,1,0)</f>
        <v>0</v>
      </c>
    </row>
    <row r="211" ht="15" customHeight="1" spans="1:18">
      <c r="A211" s="1" t="s">
        <v>508</v>
      </c>
      <c r="B211" s="53">
        <v>46162</v>
      </c>
      <c r="C211" s="1" t="s">
        <v>308</v>
      </c>
      <c r="D211" s="1" t="s">
        <v>30</v>
      </c>
      <c r="E211" s="1" t="s">
        <v>61</v>
      </c>
      <c r="F211" s="1" t="s">
        <v>120</v>
      </c>
      <c r="G211" s="1" t="s">
        <v>18</v>
      </c>
      <c r="H211" s="1">
        <v>10</v>
      </c>
      <c r="I211" s="54">
        <v>4756.33</v>
      </c>
      <c r="J211" s="55">
        <v>0.2</v>
      </c>
      <c r="K211" s="54">
        <v>2897.43</v>
      </c>
      <c r="L211" s="54">
        <v>38050.64</v>
      </c>
      <c r="M211" s="54">
        <v>28974.3</v>
      </c>
      <c r="N211" s="54">
        <v>9076.34</v>
      </c>
      <c r="O211" s="1" t="s">
        <v>32</v>
      </c>
      <c r="P211" s="1" t="s">
        <v>717</v>
      </c>
      <c r="Q211" s="1">
        <f>IF(COUNTIF($C$4:C211,C211)=1,1,0)</f>
        <v>0</v>
      </c>
      <c r="R211" s="1">
        <f>IF(COUNTIFS($D$4:D211,D211,$C$4:C211,C211)=1,1,0)</f>
        <v>0</v>
      </c>
    </row>
    <row r="212" ht="15" customHeight="1" spans="1:18">
      <c r="A212" s="1" t="s">
        <v>335</v>
      </c>
      <c r="B212" s="53">
        <v>46167</v>
      </c>
      <c r="C212" s="1" t="s">
        <v>695</v>
      </c>
      <c r="D212" s="1" t="s">
        <v>41</v>
      </c>
      <c r="E212" s="1" t="s">
        <v>24</v>
      </c>
      <c r="F212" s="1" t="s">
        <v>25</v>
      </c>
      <c r="G212" s="1" t="s">
        <v>18</v>
      </c>
      <c r="H212" s="1">
        <v>8</v>
      </c>
      <c r="I212" s="54">
        <v>4980.06</v>
      </c>
      <c r="J212" s="55">
        <v>0</v>
      </c>
      <c r="K212" s="54">
        <v>2573.22</v>
      </c>
      <c r="L212" s="54">
        <v>39840.48</v>
      </c>
      <c r="M212" s="54">
        <v>20585.76</v>
      </c>
      <c r="N212" s="54">
        <v>19254.72</v>
      </c>
      <c r="O212" s="1" t="s">
        <v>26</v>
      </c>
      <c r="P212" s="1" t="s">
        <v>717</v>
      </c>
      <c r="Q212" s="1">
        <f>IF(COUNTIF($C$4:C212,C212)=1,1,0)</f>
        <v>0</v>
      </c>
      <c r="R212" s="1">
        <f>IF(COUNTIFS($D$4:D212,D212,$C$4:C212,C212)=1,1,0)</f>
        <v>0</v>
      </c>
    </row>
    <row r="213" ht="15" customHeight="1" spans="1:18">
      <c r="A213" s="1" t="s">
        <v>682</v>
      </c>
      <c r="B213" s="53">
        <v>46169</v>
      </c>
      <c r="C213" s="1" t="s">
        <v>684</v>
      </c>
      <c r="D213" s="1" t="s">
        <v>41</v>
      </c>
      <c r="E213" s="1" t="s">
        <v>42</v>
      </c>
      <c r="F213" s="1" t="s">
        <v>158</v>
      </c>
      <c r="G213" s="1" t="s">
        <v>57</v>
      </c>
      <c r="H213" s="1">
        <v>3</v>
      </c>
      <c r="I213" s="54">
        <v>2522.04</v>
      </c>
      <c r="J213" s="55">
        <v>0.05</v>
      </c>
      <c r="K213" s="54">
        <v>1014.96</v>
      </c>
      <c r="L213" s="54">
        <v>7187.81</v>
      </c>
      <c r="M213" s="54">
        <v>3044.88</v>
      </c>
      <c r="N213" s="54">
        <v>4142.93</v>
      </c>
      <c r="O213" s="1" t="s">
        <v>136</v>
      </c>
      <c r="P213" s="1" t="s">
        <v>717</v>
      </c>
      <c r="Q213" s="1">
        <f>IF(COUNTIF($C$4:C213,C213)=1,1,0)</f>
        <v>1</v>
      </c>
      <c r="R213" s="1">
        <f>IF(COUNTIFS($D$4:D213,D213,$C$4:C213,C213)=1,1,0)</f>
        <v>1</v>
      </c>
    </row>
    <row r="214" ht="15" customHeight="1" spans="1:18">
      <c r="A214" s="1" t="s">
        <v>366</v>
      </c>
      <c r="B214" s="53">
        <v>46172</v>
      </c>
      <c r="C214" s="1" t="s">
        <v>220</v>
      </c>
      <c r="D214" s="1" t="s">
        <v>41</v>
      </c>
      <c r="E214" s="1" t="s">
        <v>61</v>
      </c>
      <c r="F214" s="1" t="s">
        <v>111</v>
      </c>
      <c r="G214" s="1" t="s">
        <v>90</v>
      </c>
      <c r="H214" s="1">
        <v>11</v>
      </c>
      <c r="I214" s="54">
        <v>854.66</v>
      </c>
      <c r="J214" s="55">
        <v>0.05</v>
      </c>
      <c r="K214" s="54">
        <v>407.42</v>
      </c>
      <c r="L214" s="54">
        <v>8931.2</v>
      </c>
      <c r="M214" s="54">
        <v>4481.62</v>
      </c>
      <c r="N214" s="54">
        <v>4449.58</v>
      </c>
      <c r="O214" s="1" t="s">
        <v>19</v>
      </c>
      <c r="P214" s="1" t="s">
        <v>717</v>
      </c>
      <c r="Q214" s="1">
        <f>IF(COUNTIF($C$4:C214,C214)=1,1,0)</f>
        <v>0</v>
      </c>
      <c r="R214" s="1">
        <f>IF(COUNTIFS($D$4:D214,D214,$C$4:C214,C214)=1,1,0)</f>
        <v>1</v>
      </c>
    </row>
    <row r="215" ht="15" customHeight="1" spans="1:18">
      <c r="A215" s="1" t="s">
        <v>503</v>
      </c>
      <c r="B215" s="53">
        <v>46172</v>
      </c>
      <c r="C215" s="1" t="s">
        <v>245</v>
      </c>
      <c r="D215" s="1" t="s">
        <v>80</v>
      </c>
      <c r="E215" s="1" t="s">
        <v>16</v>
      </c>
      <c r="F215" s="1" t="s">
        <v>49</v>
      </c>
      <c r="G215" s="1" t="s">
        <v>112</v>
      </c>
      <c r="H215" s="1">
        <v>9</v>
      </c>
      <c r="I215" s="54">
        <v>3971.74</v>
      </c>
      <c r="J215" s="55">
        <v>0.1</v>
      </c>
      <c r="K215" s="54">
        <v>1930.3</v>
      </c>
      <c r="L215" s="54">
        <v>32171.09</v>
      </c>
      <c r="M215" s="54">
        <v>17372.7</v>
      </c>
      <c r="N215" s="54">
        <v>14798.39</v>
      </c>
      <c r="O215" s="1" t="s">
        <v>44</v>
      </c>
      <c r="P215" s="1" t="s">
        <v>717</v>
      </c>
      <c r="Q215" s="1">
        <f>IF(COUNTIF($C$4:C215,C215)=1,1,0)</f>
        <v>0</v>
      </c>
      <c r="R215" s="1">
        <f>IF(COUNTIFS($D$4:D215,D215,$C$4:C215,C215)=1,1,0)</f>
        <v>1</v>
      </c>
    </row>
    <row r="216" ht="15" customHeight="1" spans="1:18">
      <c r="A216" s="1" t="s">
        <v>566</v>
      </c>
      <c r="B216" s="53">
        <v>46174</v>
      </c>
      <c r="C216" s="1" t="s">
        <v>478</v>
      </c>
      <c r="D216" s="1" t="s">
        <v>41</v>
      </c>
      <c r="E216" s="1" t="s">
        <v>42</v>
      </c>
      <c r="F216" s="1" t="s">
        <v>85</v>
      </c>
      <c r="G216" s="1" t="s">
        <v>18</v>
      </c>
      <c r="H216" s="1">
        <v>12</v>
      </c>
      <c r="I216" s="54">
        <v>4927.93</v>
      </c>
      <c r="J216" s="55">
        <v>0</v>
      </c>
      <c r="K216" s="54">
        <v>2231.35</v>
      </c>
      <c r="L216" s="54">
        <v>59135.16</v>
      </c>
      <c r="M216" s="54">
        <v>26776.2</v>
      </c>
      <c r="N216" s="54">
        <v>32358.96</v>
      </c>
      <c r="O216" s="1" t="s">
        <v>44</v>
      </c>
      <c r="P216" s="1" t="s">
        <v>719</v>
      </c>
      <c r="Q216" s="1">
        <f>IF(COUNTIF($C$4:C216,C216)=1,1,0)</f>
        <v>0</v>
      </c>
      <c r="R216" s="1">
        <f>IF(COUNTIFS($D$4:D216,D216,$C$4:C216,C216)=1,1,0)</f>
        <v>0</v>
      </c>
    </row>
    <row r="217" ht="15" customHeight="1" spans="1:18">
      <c r="A217" s="1" t="s">
        <v>361</v>
      </c>
      <c r="B217" s="53">
        <v>46174</v>
      </c>
      <c r="C217" s="1" t="s">
        <v>531</v>
      </c>
      <c r="D217" s="1" t="s">
        <v>80</v>
      </c>
      <c r="E217" s="1" t="s">
        <v>16</v>
      </c>
      <c r="F217" s="1" t="s">
        <v>102</v>
      </c>
      <c r="G217" s="1" t="s">
        <v>112</v>
      </c>
      <c r="H217" s="1">
        <v>11</v>
      </c>
      <c r="I217" s="54">
        <v>2852.51</v>
      </c>
      <c r="J217" s="55">
        <v>0</v>
      </c>
      <c r="K217" s="54">
        <v>1493.23</v>
      </c>
      <c r="L217" s="54">
        <v>31377.61</v>
      </c>
      <c r="M217" s="54">
        <v>16425.53</v>
      </c>
      <c r="N217" s="54">
        <v>14952.08</v>
      </c>
      <c r="O217" s="1" t="s">
        <v>32</v>
      </c>
      <c r="P217" s="1" t="s">
        <v>719</v>
      </c>
      <c r="Q217" s="1">
        <f>IF(COUNTIF($C$4:C217,C217)=1,1,0)</f>
        <v>0</v>
      </c>
      <c r="R217" s="1">
        <f>IF(COUNTIFS($D$4:D217,D217,$C$4:C217,C217)=1,1,0)</f>
        <v>0</v>
      </c>
    </row>
    <row r="218" ht="15" customHeight="1" spans="1:18">
      <c r="A218" s="1" t="s">
        <v>543</v>
      </c>
      <c r="B218" s="53">
        <v>46176</v>
      </c>
      <c r="C218" s="1" t="s">
        <v>540</v>
      </c>
      <c r="D218" s="1" t="s">
        <v>80</v>
      </c>
      <c r="E218" s="1" t="s">
        <v>42</v>
      </c>
      <c r="F218" s="1" t="s">
        <v>89</v>
      </c>
      <c r="G218" s="1" t="s">
        <v>90</v>
      </c>
      <c r="H218" s="1">
        <v>9</v>
      </c>
      <c r="I218" s="54">
        <v>4019</v>
      </c>
      <c r="J218" s="55">
        <v>0.15</v>
      </c>
      <c r="K218" s="54">
        <v>1673.53</v>
      </c>
      <c r="L218" s="54">
        <v>30745.35</v>
      </c>
      <c r="M218" s="54">
        <v>15061.77</v>
      </c>
      <c r="N218" s="54">
        <v>15683.58</v>
      </c>
      <c r="O218" s="1" t="s">
        <v>50</v>
      </c>
      <c r="P218" s="1" t="s">
        <v>719</v>
      </c>
      <c r="Q218" s="1">
        <f>IF(COUNTIF($C$4:C218,C218)=1,1,0)</f>
        <v>0</v>
      </c>
      <c r="R218" s="1">
        <f>IF(COUNTIFS($D$4:D218,D218,$C$4:C218,C218)=1,1,0)</f>
        <v>1</v>
      </c>
    </row>
    <row r="219" ht="15" customHeight="1" spans="1:18">
      <c r="A219" s="1" t="s">
        <v>262</v>
      </c>
      <c r="B219" s="53">
        <v>46180</v>
      </c>
      <c r="C219" s="1" t="s">
        <v>264</v>
      </c>
      <c r="D219" s="1" t="s">
        <v>80</v>
      </c>
      <c r="E219" s="1" t="s">
        <v>16</v>
      </c>
      <c r="F219" s="1" t="s">
        <v>49</v>
      </c>
      <c r="G219" s="1" t="s">
        <v>57</v>
      </c>
      <c r="H219" s="1">
        <v>6</v>
      </c>
      <c r="I219" s="54">
        <v>1340.39</v>
      </c>
      <c r="J219" s="55">
        <v>0</v>
      </c>
      <c r="K219" s="54">
        <v>797.24</v>
      </c>
      <c r="L219" s="54">
        <v>8042.34</v>
      </c>
      <c r="M219" s="54">
        <v>4783.44</v>
      </c>
      <c r="N219" s="54">
        <v>3258.9</v>
      </c>
      <c r="O219" s="1" t="s">
        <v>50</v>
      </c>
      <c r="P219" s="1" t="s">
        <v>719</v>
      </c>
      <c r="Q219" s="1">
        <f>IF(COUNTIF($C$4:C219,C219)=1,1,0)</f>
        <v>1</v>
      </c>
      <c r="R219" s="1">
        <f>IF(COUNTIFS($D$4:D219,D219,$C$4:C219,C219)=1,1,0)</f>
        <v>1</v>
      </c>
    </row>
    <row r="220" ht="15" customHeight="1" spans="1:18">
      <c r="A220" s="1" t="s">
        <v>187</v>
      </c>
      <c r="B220" s="53">
        <v>46184</v>
      </c>
      <c r="C220" s="1" t="s">
        <v>189</v>
      </c>
      <c r="D220" s="1" t="s">
        <v>54</v>
      </c>
      <c r="E220" s="1" t="s">
        <v>16</v>
      </c>
      <c r="F220" s="1" t="s">
        <v>49</v>
      </c>
      <c r="G220" s="1" t="s">
        <v>31</v>
      </c>
      <c r="H220" s="1">
        <v>5</v>
      </c>
      <c r="I220" s="54">
        <v>1818.39</v>
      </c>
      <c r="J220" s="55">
        <v>0.05</v>
      </c>
      <c r="K220" s="54">
        <v>1168.4</v>
      </c>
      <c r="L220" s="54">
        <v>8637.35</v>
      </c>
      <c r="M220" s="54">
        <v>5842</v>
      </c>
      <c r="N220" s="54">
        <v>2795.35</v>
      </c>
      <c r="O220" s="1" t="s">
        <v>50</v>
      </c>
      <c r="P220" s="1" t="s">
        <v>719</v>
      </c>
      <c r="Q220" s="1">
        <f>IF(COUNTIF($C$4:C220,C220)=1,1,0)</f>
        <v>0</v>
      </c>
      <c r="R220" s="1">
        <f>IF(COUNTIFS($D$4:D220,D220,$C$4:C220,C220)=1,1,0)</f>
        <v>1</v>
      </c>
    </row>
    <row r="221" ht="15" customHeight="1" spans="1:18">
      <c r="A221" s="1" t="s">
        <v>236</v>
      </c>
      <c r="B221" s="53">
        <v>46191</v>
      </c>
      <c r="C221" s="1" t="s">
        <v>238</v>
      </c>
      <c r="D221" s="1" t="s">
        <v>30</v>
      </c>
      <c r="E221" s="1" t="s">
        <v>61</v>
      </c>
      <c r="F221" s="1" t="s">
        <v>120</v>
      </c>
      <c r="G221" s="1" t="s">
        <v>90</v>
      </c>
      <c r="H221" s="1">
        <v>8</v>
      </c>
      <c r="I221" s="54">
        <v>2667.04</v>
      </c>
      <c r="J221" s="55">
        <v>0</v>
      </c>
      <c r="K221" s="54">
        <v>1697.18</v>
      </c>
      <c r="L221" s="54">
        <v>21336.32</v>
      </c>
      <c r="M221" s="54">
        <v>13577.44</v>
      </c>
      <c r="N221" s="54">
        <v>7758.88</v>
      </c>
      <c r="O221" s="1" t="s">
        <v>136</v>
      </c>
      <c r="P221" s="1" t="s">
        <v>719</v>
      </c>
      <c r="Q221" s="1">
        <f>IF(COUNTIF($C$4:C221,C221)=1,1,0)</f>
        <v>1</v>
      </c>
      <c r="R221" s="1">
        <f>IF(COUNTIFS($D$4:D221,D221,$C$4:C221,C221)=1,1,0)</f>
        <v>1</v>
      </c>
    </row>
    <row r="222" ht="15" customHeight="1" spans="1:18">
      <c r="A222" s="1" t="s">
        <v>82</v>
      </c>
      <c r="B222" s="53">
        <v>46193</v>
      </c>
      <c r="C222" s="1" t="s">
        <v>84</v>
      </c>
      <c r="D222" s="1" t="s">
        <v>30</v>
      </c>
      <c r="E222" s="1" t="s">
        <v>42</v>
      </c>
      <c r="F222" s="1" t="s">
        <v>85</v>
      </c>
      <c r="G222" s="1" t="s">
        <v>18</v>
      </c>
      <c r="H222" s="1">
        <v>10</v>
      </c>
      <c r="I222" s="54">
        <v>3093.24</v>
      </c>
      <c r="J222" s="55">
        <v>0.05</v>
      </c>
      <c r="K222" s="54">
        <v>1716.27</v>
      </c>
      <c r="L222" s="54">
        <v>29385.78</v>
      </c>
      <c r="M222" s="54">
        <v>17162.7</v>
      </c>
      <c r="N222" s="54">
        <v>12223.08</v>
      </c>
      <c r="O222" s="1" t="s">
        <v>44</v>
      </c>
      <c r="P222" s="1" t="s">
        <v>719</v>
      </c>
      <c r="Q222" s="1">
        <f>IF(COUNTIF($C$4:C222,C222)=1,1,0)</f>
        <v>1</v>
      </c>
      <c r="R222" s="1">
        <f>IF(COUNTIFS($D$4:D222,D222,$C$4:C222,C222)=1,1,0)</f>
        <v>1</v>
      </c>
    </row>
    <row r="223" ht="15" customHeight="1" spans="1:18">
      <c r="A223" s="1" t="s">
        <v>172</v>
      </c>
      <c r="B223" s="53">
        <v>46193</v>
      </c>
      <c r="C223" s="1" t="s">
        <v>173</v>
      </c>
      <c r="D223" s="1" t="s">
        <v>54</v>
      </c>
      <c r="E223" s="1" t="s">
        <v>16</v>
      </c>
      <c r="F223" s="1" t="s">
        <v>174</v>
      </c>
      <c r="G223" s="1" t="s">
        <v>38</v>
      </c>
      <c r="H223" s="1">
        <v>7</v>
      </c>
      <c r="I223" s="54">
        <v>3148.69</v>
      </c>
      <c r="J223" s="55">
        <v>0</v>
      </c>
      <c r="K223" s="54">
        <v>1881.93</v>
      </c>
      <c r="L223" s="54">
        <v>22040.83</v>
      </c>
      <c r="M223" s="54">
        <v>13173.51</v>
      </c>
      <c r="N223" s="54">
        <v>8867.32</v>
      </c>
      <c r="O223" s="1" t="s">
        <v>26</v>
      </c>
      <c r="P223" s="1" t="s">
        <v>719</v>
      </c>
      <c r="Q223" s="1">
        <f>IF(COUNTIF($C$4:C223,C223)=1,1,0)</f>
        <v>0</v>
      </c>
      <c r="R223" s="1">
        <f>IF(COUNTIFS($D$4:D223,D223,$C$4:C223,C223)=1,1,0)</f>
        <v>1</v>
      </c>
    </row>
    <row r="224" ht="15" customHeight="1" spans="1:18">
      <c r="A224" s="1" t="s">
        <v>165</v>
      </c>
      <c r="B224" s="53">
        <v>46195</v>
      </c>
      <c r="C224" s="1" t="s">
        <v>167</v>
      </c>
      <c r="D224" s="1" t="s">
        <v>41</v>
      </c>
      <c r="E224" s="1" t="s">
        <v>24</v>
      </c>
      <c r="F224" s="1" t="s">
        <v>116</v>
      </c>
      <c r="G224" s="1" t="s">
        <v>18</v>
      </c>
      <c r="H224" s="1">
        <v>12</v>
      </c>
      <c r="I224" s="54">
        <v>2574.73</v>
      </c>
      <c r="J224" s="55">
        <v>0.2</v>
      </c>
      <c r="K224" s="54">
        <v>1496.29</v>
      </c>
      <c r="L224" s="54">
        <v>24717.41</v>
      </c>
      <c r="M224" s="54">
        <v>17955.48</v>
      </c>
      <c r="N224" s="54">
        <v>6761.93</v>
      </c>
      <c r="O224" s="1" t="s">
        <v>19</v>
      </c>
      <c r="P224" s="1" t="s">
        <v>719</v>
      </c>
      <c r="Q224" s="1">
        <f>IF(COUNTIF($C$4:C224,C224)=1,1,0)</f>
        <v>1</v>
      </c>
      <c r="R224" s="1">
        <f>IF(COUNTIFS($D$4:D224,D224,$C$4:C224,C224)=1,1,0)</f>
        <v>1</v>
      </c>
    </row>
    <row r="225" ht="15" customHeight="1" spans="1:18">
      <c r="A225" s="1" t="s">
        <v>463</v>
      </c>
      <c r="B225" s="53">
        <v>46201</v>
      </c>
      <c r="C225" s="1" t="s">
        <v>329</v>
      </c>
      <c r="D225" s="1" t="s">
        <v>41</v>
      </c>
      <c r="E225" s="1" t="s">
        <v>61</v>
      </c>
      <c r="F225" s="1" t="s">
        <v>111</v>
      </c>
      <c r="G225" s="1" t="s">
        <v>112</v>
      </c>
      <c r="H225" s="1">
        <v>3</v>
      </c>
      <c r="I225" s="54">
        <v>3314.41</v>
      </c>
      <c r="J225" s="55">
        <v>0</v>
      </c>
      <c r="K225" s="54">
        <v>1886.84</v>
      </c>
      <c r="L225" s="54">
        <v>9943.23</v>
      </c>
      <c r="M225" s="54">
        <v>5660.52</v>
      </c>
      <c r="N225" s="54">
        <v>4282.71</v>
      </c>
      <c r="O225" s="1" t="s">
        <v>50</v>
      </c>
      <c r="P225" s="1" t="s">
        <v>719</v>
      </c>
      <c r="Q225" s="1">
        <f>IF(COUNTIF($C$4:C225,C225)=1,1,0)</f>
        <v>0</v>
      </c>
      <c r="R225" s="1">
        <f>IF(COUNTIFS($D$4:D225,D225,$C$4:C225,C225)=1,1,0)</f>
        <v>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C6F2"/>
  </sheetPr>
  <dimension ref="A1:X194"/>
  <sheetViews>
    <sheetView showGridLines="0" workbookViewId="0">
      <pane ySplit="3" topLeftCell="A4" activePane="bottomLeft" state="frozen"/>
      <selection/>
      <selection pane="bottomLeft" activeCell="A1" sqref="A1"/>
    </sheetView>
  </sheetViews>
  <sheetFormatPr defaultColWidth="8.68181818181818" defaultRowHeight="14.5"/>
  <cols>
    <col min="1" max="24" width="10" style="1" customWidth="1"/>
  </cols>
  <sheetData>
    <row r="1" ht="15.75" customHeight="1" spans="1:1">
      <c r="A1" s="45" t="s">
        <v>720</v>
      </c>
    </row>
    <row r="2" ht="15" customHeight="1" spans="1:14">
      <c r="A2" s="46" t="s">
        <v>721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ht="17.25" customHeight="1" spans="2:13">
      <c r="B3" s="47" t="s">
        <v>722</v>
      </c>
      <c r="G3" s="47" t="s">
        <v>723</v>
      </c>
      <c r="M3" s="47" t="s">
        <v>724</v>
      </c>
    </row>
    <row r="4" ht="15" customHeight="1" spans="2:17">
      <c r="B4" s="48" t="s">
        <v>725</v>
      </c>
      <c r="C4" s="48" t="s">
        <v>687</v>
      </c>
      <c r="D4" s="48" t="s">
        <v>726</v>
      </c>
      <c r="E4" s="48" t="s">
        <v>689</v>
      </c>
      <c r="G4" s="48" t="s">
        <v>5</v>
      </c>
      <c r="H4" s="48" t="s">
        <v>687</v>
      </c>
      <c r="I4" s="48" t="s">
        <v>726</v>
      </c>
      <c r="J4" s="48" t="s">
        <v>727</v>
      </c>
      <c r="K4" s="48" t="s">
        <v>689</v>
      </c>
      <c r="M4" s="48" t="s">
        <v>4</v>
      </c>
      <c r="N4" s="48" t="s">
        <v>687</v>
      </c>
      <c r="O4" s="48" t="s">
        <v>726</v>
      </c>
      <c r="P4" s="48" t="s">
        <v>728</v>
      </c>
      <c r="Q4" s="48" t="s">
        <v>689</v>
      </c>
    </row>
    <row r="5" ht="15" customHeight="1" spans="2:17">
      <c r="B5" s="1" t="s">
        <v>693</v>
      </c>
      <c r="C5" s="49">
        <f>SUMIFS(T_Sales[Revenue],T_Sales[OrderMonth],$B5)</f>
        <v>95084.49</v>
      </c>
      <c r="D5" s="1">
        <f>COUNTIFS(T_Sales[OrderMonth],$B5)</f>
        <v>9</v>
      </c>
      <c r="E5" s="49">
        <f>SUMIFS(T_Sales[Profit],T_Sales[OrderMonth],$B5)</f>
        <v>39087.93</v>
      </c>
      <c r="G5" s="1" t="s">
        <v>24</v>
      </c>
      <c r="H5" s="49">
        <f>SUMIFS(T_Sales[Revenue],T_Sales[Category],$G5)</f>
        <v>718115.54</v>
      </c>
      <c r="I5" s="1">
        <f>COUNTIFS(T_Sales[Category],$G5)</f>
        <v>46</v>
      </c>
      <c r="J5" s="49">
        <f>IFERROR(H5/I5,0)</f>
        <v>15611.2073913043</v>
      </c>
      <c r="K5" s="49">
        <f>SUMIFS(T_Sales[Profit],T_Sales[Category],$G5)</f>
        <v>310568.86</v>
      </c>
      <c r="M5" s="1" t="s">
        <v>30</v>
      </c>
      <c r="N5" s="49">
        <f>SUMIFS(T_Sales[Revenue],T_Sales[Region],$M5)</f>
        <v>608907.82</v>
      </c>
      <c r="O5" s="1">
        <f>COUNTIFS(T_Sales[Region],$M5)</f>
        <v>35</v>
      </c>
      <c r="P5" s="1">
        <f>SUMIFS(T_Sales[IsFirstCustomerInRegion],T_Sales[Region],$M5)</f>
        <v>33</v>
      </c>
      <c r="Q5" s="49">
        <f>SUMIFS(T_Sales[Profit],T_Sales[Region],$M5)</f>
        <v>267072</v>
      </c>
    </row>
    <row r="6" ht="15" customHeight="1" spans="2:17">
      <c r="B6" s="1" t="s">
        <v>696</v>
      </c>
      <c r="C6" s="49">
        <f>SUMIFS(T_Sales[Revenue],T_Sales[OrderMonth],$B6)</f>
        <v>273887.12</v>
      </c>
      <c r="D6" s="1">
        <f>COUNTIFS(T_Sales[OrderMonth],$B6)</f>
        <v>14</v>
      </c>
      <c r="E6" s="49">
        <f>SUMIFS(T_Sales[Profit],T_Sales[OrderMonth],$B6)</f>
        <v>117626.73</v>
      </c>
      <c r="G6" s="1" t="s">
        <v>61</v>
      </c>
      <c r="H6" s="49">
        <f>SUMIFS(T_Sales[Revenue],T_Sales[Category],$G6)</f>
        <v>851725.71</v>
      </c>
      <c r="I6" s="1">
        <f>COUNTIFS(T_Sales[Category],$G6)</f>
        <v>43</v>
      </c>
      <c r="J6" s="49">
        <f>IFERROR(H6/I6,0)</f>
        <v>19807.5746511628</v>
      </c>
      <c r="K6" s="49">
        <f>SUMIFS(T_Sales[Profit],T_Sales[Category],$G6)</f>
        <v>384683.81</v>
      </c>
      <c r="M6" s="1" t="s">
        <v>80</v>
      </c>
      <c r="N6" s="49">
        <f>SUMIFS(T_Sales[Revenue],T_Sales[Region],$M6)</f>
        <v>944694.54</v>
      </c>
      <c r="O6" s="1">
        <f>COUNTIFS(T_Sales[Region],$M6)</f>
        <v>47</v>
      </c>
      <c r="P6" s="1">
        <f>SUMIFS(T_Sales[IsFirstCustomerInRegion],T_Sales[Region],$M6)</f>
        <v>41</v>
      </c>
      <c r="Q6" s="49">
        <f>SUMIFS(T_Sales[Profit],T_Sales[Region],$M6)</f>
        <v>408272.29</v>
      </c>
    </row>
    <row r="7" ht="15" customHeight="1" spans="2:17">
      <c r="B7" s="1" t="s">
        <v>698</v>
      </c>
      <c r="C7" s="49">
        <f>SUMIFS(T_Sales[Revenue],T_Sales[OrderMonth],$B7)</f>
        <v>248023.8</v>
      </c>
      <c r="D7" s="1">
        <f>COUNTIFS(T_Sales[OrderMonth],$B7)</f>
        <v>13</v>
      </c>
      <c r="E7" s="49">
        <f>SUMIFS(T_Sales[Profit],T_Sales[OrderMonth],$B7)</f>
        <v>120639.4</v>
      </c>
      <c r="G7" s="1" t="s">
        <v>42</v>
      </c>
      <c r="H7" s="49">
        <f>SUMIFS(T_Sales[Revenue],T_Sales[Category],$G7)</f>
        <v>935203.87</v>
      </c>
      <c r="I7" s="1">
        <f>COUNTIFS(T_Sales[Category],$G7)</f>
        <v>48</v>
      </c>
      <c r="J7" s="49">
        <f>IFERROR(H7/I7,0)</f>
        <v>19483.4139583333</v>
      </c>
      <c r="K7" s="49">
        <f>SUMIFS(T_Sales[Profit],T_Sales[Category],$G7)</f>
        <v>417856.28</v>
      </c>
      <c r="M7" s="1" t="s">
        <v>54</v>
      </c>
      <c r="N7" s="49">
        <f>SUMIFS(T_Sales[Revenue],T_Sales[Region],$M7)</f>
        <v>767341.78</v>
      </c>
      <c r="O7" s="1">
        <f>COUNTIFS(T_Sales[Region],$M7)</f>
        <v>48</v>
      </c>
      <c r="P7" s="1">
        <f>SUMIFS(T_Sales[IsFirstCustomerInRegion],T_Sales[Region],$M7)</f>
        <v>47</v>
      </c>
      <c r="Q7" s="49">
        <f>SUMIFS(T_Sales[Profit],T_Sales[Region],$M7)</f>
        <v>339164.44</v>
      </c>
    </row>
    <row r="8" ht="15" customHeight="1" spans="2:17">
      <c r="B8" s="1" t="s">
        <v>699</v>
      </c>
      <c r="C8" s="49">
        <f>SUMIFS(T_Sales[Revenue],T_Sales[OrderMonth],$B8)</f>
        <v>298091.61</v>
      </c>
      <c r="D8" s="1">
        <f>COUNTIFS(T_Sales[OrderMonth],$B8)</f>
        <v>17</v>
      </c>
      <c r="E8" s="49">
        <f>SUMIFS(T_Sales[Profit],T_Sales[OrderMonth],$B8)</f>
        <v>127442.26</v>
      </c>
      <c r="G8" s="1" t="s">
        <v>55</v>
      </c>
      <c r="H8" s="49">
        <f>SUMIFS(T_Sales[Revenue],T_Sales[Category],$G8)</f>
        <v>581013.14</v>
      </c>
      <c r="I8" s="1">
        <f>COUNTIFS(T_Sales[Category],$G8)</f>
        <v>38</v>
      </c>
      <c r="J8" s="49">
        <f>IFERROR(H8/I8,0)</f>
        <v>15289.8194736842</v>
      </c>
      <c r="K8" s="49">
        <f>SUMIFS(T_Sales[Profit],T_Sales[Category],$G8)</f>
        <v>249239.91</v>
      </c>
      <c r="M8" s="1" t="s">
        <v>41</v>
      </c>
      <c r="N8" s="49">
        <f>SUMIFS(T_Sales[Revenue],T_Sales[Region],$M8)</f>
        <v>790727.89</v>
      </c>
      <c r="O8" s="1">
        <f>COUNTIFS(T_Sales[Region],$M8)</f>
        <v>50</v>
      </c>
      <c r="P8" s="1">
        <f>SUMIFS(T_Sales[IsFirstCustomerInRegion],T_Sales[Region],$M8)</f>
        <v>45</v>
      </c>
      <c r="Q8" s="49">
        <f>SUMIFS(T_Sales[Profit],T_Sales[Region],$M8)</f>
        <v>354643.35</v>
      </c>
    </row>
    <row r="9" ht="15" customHeight="1" spans="2:17">
      <c r="B9" s="1" t="s">
        <v>700</v>
      </c>
      <c r="C9" s="49">
        <f>SUMIFS(T_Sales[Revenue],T_Sales[OrderMonth],$B9)</f>
        <v>192087.26</v>
      </c>
      <c r="D9" s="1">
        <f>COUNTIFS(T_Sales[OrderMonth],$B9)</f>
        <v>11</v>
      </c>
      <c r="E9" s="49">
        <f>SUMIFS(T_Sales[Profit],T_Sales[OrderMonth],$B9)</f>
        <v>81261.68</v>
      </c>
      <c r="G9" s="1" t="s">
        <v>16</v>
      </c>
      <c r="H9" s="49">
        <f>SUMIFS(T_Sales[Revenue],T_Sales[Category],$G9)</f>
        <v>797400.43</v>
      </c>
      <c r="I9" s="1">
        <f>COUNTIFS(T_Sales[Category],$G9)</f>
        <v>47</v>
      </c>
      <c r="J9" s="49">
        <f>IFERROR(H9/I9,0)</f>
        <v>16965.9665957447</v>
      </c>
      <c r="K9" s="49">
        <f>SUMIFS(T_Sales[Profit],T_Sales[Category],$G9)</f>
        <v>342111.94</v>
      </c>
      <c r="M9" s="1" t="s">
        <v>48</v>
      </c>
      <c r="N9" s="49">
        <f>SUMIFS(T_Sales[Revenue],T_Sales[Region],$M9)</f>
        <v>771786.66</v>
      </c>
      <c r="O9" s="1">
        <f>COUNTIFS(T_Sales[Region],$M9)</f>
        <v>42</v>
      </c>
      <c r="P9" s="1">
        <f>SUMIFS(T_Sales[IsFirstCustomerInRegion],T_Sales[Region],$M9)</f>
        <v>41</v>
      </c>
      <c r="Q9" s="49">
        <f>SUMIFS(T_Sales[Profit],T_Sales[Region],$M9)</f>
        <v>335308.72</v>
      </c>
    </row>
    <row r="10" ht="15" customHeight="1" spans="2:5">
      <c r="B10" s="1" t="s">
        <v>701</v>
      </c>
      <c r="C10" s="49">
        <f>SUMIFS(T_Sales[Revenue],T_Sales[OrderMonth],$B10)</f>
        <v>154384.51</v>
      </c>
      <c r="D10" s="1">
        <f>COUNTIFS(T_Sales[OrderMonth],$B10)</f>
        <v>9</v>
      </c>
      <c r="E10" s="49">
        <f>SUMIFS(T_Sales[Profit],T_Sales[OrderMonth],$B10)</f>
        <v>68238.35</v>
      </c>
    </row>
    <row r="11" ht="15" customHeight="1" spans="2:5">
      <c r="B11" s="1" t="s">
        <v>703</v>
      </c>
      <c r="C11" s="49">
        <f>SUMIFS(T_Sales[Revenue],T_Sales[OrderMonth],$B11)</f>
        <v>218111.91</v>
      </c>
      <c r="D11" s="1">
        <f>COUNTIFS(T_Sales[OrderMonth],$B11)</f>
        <v>14</v>
      </c>
      <c r="E11" s="49">
        <f>SUMIFS(T_Sales[Profit],T_Sales[OrderMonth],$B11)</f>
        <v>100525.92</v>
      </c>
    </row>
    <row r="12" ht="15" customHeight="1" spans="2:5">
      <c r="B12" s="1" t="s">
        <v>706</v>
      </c>
      <c r="C12" s="49">
        <f>SUMIFS(T_Sales[Revenue],T_Sales[OrderMonth],$B12)</f>
        <v>231506.46</v>
      </c>
      <c r="D12" s="1">
        <f>COUNTIFS(T_Sales[OrderMonth],$B12)</f>
        <v>12</v>
      </c>
      <c r="E12" s="49">
        <f>SUMIFS(T_Sales[Profit],T_Sales[OrderMonth],$B12)</f>
        <v>103747.85</v>
      </c>
    </row>
    <row r="13" ht="15" customHeight="1" spans="2:5">
      <c r="B13" s="1" t="s">
        <v>707</v>
      </c>
      <c r="C13" s="49">
        <f>SUMIFS(T_Sales[Revenue],T_Sales[OrderMonth],$B13)</f>
        <v>180394.47</v>
      </c>
      <c r="D13" s="1">
        <f>COUNTIFS(T_Sales[OrderMonth],$B13)</f>
        <v>11</v>
      </c>
      <c r="E13" s="49">
        <f>SUMIFS(T_Sales[Profit],T_Sales[OrderMonth],$B13)</f>
        <v>82199.19</v>
      </c>
    </row>
    <row r="14" ht="15" customHeight="1" spans="2:5">
      <c r="B14" s="1" t="s">
        <v>708</v>
      </c>
      <c r="C14" s="49">
        <f>SUMIFS(T_Sales[Revenue],T_Sales[OrderMonth],$B14)</f>
        <v>169811.29</v>
      </c>
      <c r="D14" s="1">
        <f>COUNTIFS(T_Sales[OrderMonth],$B14)</f>
        <v>17</v>
      </c>
      <c r="E14" s="49">
        <f>SUMIFS(T_Sales[Profit],T_Sales[OrderMonth],$B14)</f>
        <v>75823.95</v>
      </c>
    </row>
    <row r="15" ht="15" customHeight="1" spans="2:5">
      <c r="B15" s="1" t="s">
        <v>709</v>
      </c>
      <c r="C15" s="49">
        <f>SUMIFS(T_Sales[Revenue],T_Sales[OrderMonth],$B15)</f>
        <v>188671.12</v>
      </c>
      <c r="D15" s="1">
        <f>COUNTIFS(T_Sales[OrderMonth],$B15)</f>
        <v>12</v>
      </c>
      <c r="E15" s="49">
        <f>SUMIFS(T_Sales[Profit],T_Sales[OrderMonth],$B15)</f>
        <v>83315.84</v>
      </c>
    </row>
    <row r="16" ht="15" customHeight="1" spans="2:5">
      <c r="B16" s="1" t="s">
        <v>710</v>
      </c>
      <c r="C16" s="49">
        <f>SUMIFS(T_Sales[Revenue],T_Sales[OrderMonth],$B16)</f>
        <v>314391.06</v>
      </c>
      <c r="D16" s="1">
        <f>COUNTIFS(T_Sales[OrderMonth],$B16)</f>
        <v>17</v>
      </c>
      <c r="E16" s="49">
        <f>SUMIFS(T_Sales[Profit],T_Sales[OrderMonth],$B16)</f>
        <v>141984.5</v>
      </c>
    </row>
    <row r="17" ht="15" customHeight="1" spans="2:5">
      <c r="B17" s="1" t="s">
        <v>712</v>
      </c>
      <c r="C17" s="49">
        <f>SUMIFS(T_Sales[Revenue],T_Sales[OrderMonth],$B17)</f>
        <v>227202.82</v>
      </c>
      <c r="D17" s="1">
        <f>COUNTIFS(T_Sales[OrderMonth],$B17)</f>
        <v>12</v>
      </c>
      <c r="E17" s="49">
        <f>SUMIFS(T_Sales[Profit],T_Sales[OrderMonth],$B17)</f>
        <v>100465.32</v>
      </c>
    </row>
    <row r="18" ht="15" customHeight="1" spans="2:5">
      <c r="B18" s="1" t="s">
        <v>713</v>
      </c>
      <c r="C18" s="49">
        <f>SUMIFS(T_Sales[Revenue],T_Sales[OrderMonth],$B18)</f>
        <v>191611.88</v>
      </c>
      <c r="D18" s="1">
        <f>COUNTIFS(T_Sales[OrderMonth],$B18)</f>
        <v>7</v>
      </c>
      <c r="E18" s="49">
        <f>SUMIFS(T_Sales[Profit],T_Sales[OrderMonth],$B18)</f>
        <v>77426.19</v>
      </c>
    </row>
    <row r="19" ht="15" customHeight="1" spans="2:5">
      <c r="B19" s="1" t="s">
        <v>714</v>
      </c>
      <c r="C19" s="49">
        <f>SUMIFS(T_Sales[Revenue],T_Sales[OrderMonth],$B19)</f>
        <v>145076.08</v>
      </c>
      <c r="D19" s="1">
        <f>COUNTIFS(T_Sales[OrderMonth],$B19)</f>
        <v>12</v>
      </c>
      <c r="E19" s="49">
        <f>SUMIFS(T_Sales[Profit],T_Sales[OrderMonth],$B19)</f>
        <v>62531.26</v>
      </c>
    </row>
    <row r="20" ht="15" customHeight="1" spans="2:5">
      <c r="B20" s="1" t="s">
        <v>716</v>
      </c>
      <c r="C20" s="49">
        <f>SUMIFS(T_Sales[Revenue],T_Sales[OrderMonth],$B20)</f>
        <v>196806.07</v>
      </c>
      <c r="D20" s="1">
        <f>COUNTIFS(T_Sales[OrderMonth],$B20)</f>
        <v>11</v>
      </c>
      <c r="E20" s="49">
        <f>SUMIFS(T_Sales[Profit],T_Sales[OrderMonth],$B20)</f>
        <v>85453.17</v>
      </c>
    </row>
    <row r="21" ht="15" customHeight="1" spans="2:5">
      <c r="B21" s="1" t="s">
        <v>717</v>
      </c>
      <c r="C21" s="49">
        <f>SUMIFS(T_Sales[Revenue],T_Sales[OrderMonth],$B21)</f>
        <v>312955.36</v>
      </c>
      <c r="D21" s="1">
        <f>COUNTIFS(T_Sales[OrderMonth],$B21)</f>
        <v>14</v>
      </c>
      <c r="E21" s="49">
        <f>SUMIFS(T_Sales[Profit],T_Sales[OrderMonth],$B21)</f>
        <v>127748.47</v>
      </c>
    </row>
    <row r="22" ht="15" customHeight="1" spans="2:5">
      <c r="B22" s="1" t="s">
        <v>719</v>
      </c>
      <c r="C22" s="49">
        <f>SUMIFS(T_Sales[Revenue],T_Sales[OrderMonth],$B22)</f>
        <v>245361.38</v>
      </c>
      <c r="D22" s="1">
        <f>COUNTIFS(T_Sales[OrderMonth],$B22)</f>
        <v>10</v>
      </c>
      <c r="E22" s="49">
        <f>SUMIFS(T_Sales[Profit],T_Sales[OrderMonth],$B22)</f>
        <v>108942.79</v>
      </c>
    </row>
    <row r="23" ht="17.25" customHeight="1" spans="2:22">
      <c r="B23" s="47" t="s">
        <v>729</v>
      </c>
      <c r="G23" s="47" t="s">
        <v>730</v>
      </c>
      <c r="M23" s="47" t="s">
        <v>731</v>
      </c>
      <c r="Q23" s="47" t="s">
        <v>732</v>
      </c>
      <c r="V23" s="47" t="s">
        <v>733</v>
      </c>
    </row>
    <row r="24" ht="15" customHeight="1" spans="2:24">
      <c r="B24" s="50" t="s">
        <v>6</v>
      </c>
      <c r="C24" s="50" t="s">
        <v>687</v>
      </c>
      <c r="D24" s="50" t="s">
        <v>726</v>
      </c>
      <c r="G24" s="51" t="s">
        <v>734</v>
      </c>
      <c r="H24" s="51" t="s">
        <v>6</v>
      </c>
      <c r="I24" s="51" t="s">
        <v>687</v>
      </c>
      <c r="M24" s="50" t="s">
        <v>735</v>
      </c>
      <c r="N24" s="50" t="s">
        <v>687</v>
      </c>
      <c r="O24" s="50" t="s">
        <v>726</v>
      </c>
      <c r="Q24" s="51" t="s">
        <v>734</v>
      </c>
      <c r="R24" s="51" t="s">
        <v>735</v>
      </c>
      <c r="S24" s="51" t="s">
        <v>687</v>
      </c>
      <c r="T24" s="51" t="s">
        <v>726</v>
      </c>
      <c r="V24" s="48" t="s">
        <v>736</v>
      </c>
      <c r="W24" s="48" t="s">
        <v>687</v>
      </c>
      <c r="X24" s="48" t="s">
        <v>726</v>
      </c>
    </row>
    <row r="25" ht="15" customHeight="1" spans="2:24">
      <c r="B25" s="1" t="s">
        <v>120</v>
      </c>
      <c r="C25" s="49">
        <f>SUMIFS(T_Sales[Revenue],T_Sales[Product],$B25)</f>
        <v>441862.08</v>
      </c>
      <c r="D25" s="1">
        <f>COUNTIFS(T_Sales[Product],$B25)</f>
        <v>17</v>
      </c>
      <c r="G25" s="1">
        <v>1</v>
      </c>
      <c r="H25" s="1" t="str">
        <f t="shared" ref="H25:H34" si="0">INDEX($B$25:$B$49,MATCH(I25,$C$25:$C$49,0))</f>
        <v>Amber Oud</v>
      </c>
      <c r="I25" s="49">
        <f t="shared" ref="I25:I34" si="1">LARGE($C$25:$C$49,G25)</f>
        <v>441862.08</v>
      </c>
      <c r="M25" s="1" t="s">
        <v>214</v>
      </c>
      <c r="N25" s="49">
        <f>SUMIFS(T_Sales[Revenue],T_Sales[CustomerName],$M25)</f>
        <v>8365.64</v>
      </c>
      <c r="O25" s="1">
        <f>COUNTIFS(T_Sales[CustomerName],$M25)</f>
        <v>1</v>
      </c>
      <c r="Q25" s="1">
        <v>1</v>
      </c>
      <c r="R25" s="1" t="str">
        <f t="shared" ref="R25:R34" si="2">INDEX($M$25:$M$186,MATCH(S25,$N$25:$N$186,0))</f>
        <v>Aarav Das</v>
      </c>
      <c r="S25" s="49">
        <f t="shared" ref="S25:S34" si="3">LARGE($N$25:$N$186,Q25)</f>
        <v>90721.25</v>
      </c>
      <c r="T25" s="1">
        <f t="shared" ref="T25:T34" si="4">INDEX($O$25:$O$186,MATCH(S25,$N$25:$N$186,0))</f>
        <v>2</v>
      </c>
      <c r="V25" s="1" t="s">
        <v>136</v>
      </c>
      <c r="W25" s="49">
        <f>SUMIFS(T_Sales[Revenue],T_Sales[PaymentMethod],$V25)</f>
        <v>644347.51</v>
      </c>
      <c r="X25" s="1">
        <f>COUNTIFS(T_Sales[PaymentMethod],$V25)</f>
        <v>41</v>
      </c>
    </row>
    <row r="26" ht="15" customHeight="1" spans="2:24">
      <c r="B26" s="1" t="s">
        <v>85</v>
      </c>
      <c r="C26" s="49">
        <f>SUMIFS(T_Sales[Revenue],T_Sales[Product],$B26)</f>
        <v>367938.05</v>
      </c>
      <c r="D26" s="1">
        <f>COUNTIFS(T_Sales[Product],$B26)</f>
        <v>13</v>
      </c>
      <c r="G26" s="1">
        <v>2</v>
      </c>
      <c r="H26" s="1" t="str">
        <f t="shared" si="0"/>
        <v>Argan Shampoo</v>
      </c>
      <c r="I26" s="49">
        <f t="shared" si="1"/>
        <v>367938.05</v>
      </c>
      <c r="M26" s="1" t="s">
        <v>579</v>
      </c>
      <c r="N26" s="49">
        <f>SUMIFS(T_Sales[Revenue],T_Sales[CustomerName],$M26)</f>
        <v>14102.87</v>
      </c>
      <c r="O26" s="1">
        <f>COUNTIFS(T_Sales[CustomerName],$M26)</f>
        <v>1</v>
      </c>
      <c r="Q26" s="1">
        <v>2</v>
      </c>
      <c r="R26" s="1" t="str">
        <f t="shared" si="2"/>
        <v>Riya Reddy</v>
      </c>
      <c r="S26" s="49">
        <f t="shared" si="3"/>
        <v>83695.16</v>
      </c>
      <c r="T26" s="1">
        <f t="shared" si="4"/>
        <v>3</v>
      </c>
      <c r="V26" s="1" t="s">
        <v>19</v>
      </c>
      <c r="W26" s="49">
        <f>SUMIFS(T_Sales[Revenue],T_Sales[PaymentMethod],$V26)</f>
        <v>573980.14</v>
      </c>
      <c r="X26" s="1">
        <f>COUNTIFS(T_Sales[PaymentMethod],$V26)</f>
        <v>34</v>
      </c>
    </row>
    <row r="27" ht="15" customHeight="1" spans="2:24">
      <c r="B27" s="1" t="s">
        <v>94</v>
      </c>
      <c r="C27" s="49">
        <f>SUMIFS(T_Sales[Revenue],T_Sales[Product],$B27)</f>
        <v>72645.25</v>
      </c>
      <c r="D27" s="1">
        <f>COUNTIFS(T_Sales[Product],$B27)</f>
        <v>7</v>
      </c>
      <c r="G27" s="1">
        <v>3</v>
      </c>
      <c r="H27" s="1" t="str">
        <f t="shared" si="0"/>
        <v>Silk Moisturizer</v>
      </c>
      <c r="I27" s="49">
        <f t="shared" si="1"/>
        <v>218015.62</v>
      </c>
      <c r="M27" s="1" t="s">
        <v>357</v>
      </c>
      <c r="N27" s="49">
        <f>SUMIFS(T_Sales[Revenue],T_Sales[CustomerName],$M27)</f>
        <v>4483.04</v>
      </c>
      <c r="O27" s="1">
        <f>COUNTIFS(T_Sales[CustomerName],$M27)</f>
        <v>1</v>
      </c>
      <c r="Q27" s="1">
        <v>3</v>
      </c>
      <c r="R27" s="1" t="str">
        <f t="shared" si="2"/>
        <v>Arjun Menon</v>
      </c>
      <c r="S27" s="49">
        <f t="shared" si="3"/>
        <v>83470.57</v>
      </c>
      <c r="T27" s="1">
        <f t="shared" si="4"/>
        <v>3</v>
      </c>
      <c r="V27" s="1" t="s">
        <v>44</v>
      </c>
      <c r="W27" s="49">
        <f>SUMIFS(T_Sales[Revenue],T_Sales[PaymentMethod],$V27)</f>
        <v>596256.25</v>
      </c>
      <c r="X27" s="1">
        <f>COUNTIFS(T_Sales[PaymentMethod],$V27)</f>
        <v>27</v>
      </c>
    </row>
    <row r="28" ht="15" customHeight="1" spans="2:24">
      <c r="B28" s="1" t="s">
        <v>66</v>
      </c>
      <c r="C28" s="49">
        <f>SUMIFS(T_Sales[Revenue],T_Sales[Product],$B28)</f>
        <v>136625.86</v>
      </c>
      <c r="D28" s="1">
        <f>COUNTIFS(T_Sales[Product],$B28)</f>
        <v>11</v>
      </c>
      <c r="G28" s="1">
        <v>4</v>
      </c>
      <c r="H28" s="1" t="str">
        <f t="shared" si="0"/>
        <v>Curl Cream</v>
      </c>
      <c r="I28" s="49">
        <f t="shared" si="1"/>
        <v>216119.18</v>
      </c>
      <c r="M28" s="1" t="s">
        <v>183</v>
      </c>
      <c r="N28" s="49">
        <f>SUMIFS(T_Sales[Revenue],T_Sales[CustomerName],$M28)</f>
        <v>4863.5</v>
      </c>
      <c r="O28" s="1">
        <f>COUNTIFS(T_Sales[CustomerName],$M28)</f>
        <v>1</v>
      </c>
      <c r="Q28" s="1">
        <v>4</v>
      </c>
      <c r="R28" s="1" t="str">
        <f t="shared" si="2"/>
        <v>Sara Iyer</v>
      </c>
      <c r="S28" s="49">
        <f t="shared" si="3"/>
        <v>65044.14</v>
      </c>
      <c r="T28" s="1">
        <f t="shared" si="4"/>
        <v>2</v>
      </c>
      <c r="V28" s="1" t="s">
        <v>26</v>
      </c>
      <c r="W28" s="49">
        <f>SUMIFS(T_Sales[Revenue],T_Sales[PaymentMethod],$V28)</f>
        <v>689024.72</v>
      </c>
      <c r="X28" s="1">
        <f>COUNTIFS(T_Sales[PaymentMethod],$V28)</f>
        <v>38</v>
      </c>
    </row>
    <row r="29" ht="15" customHeight="1" spans="2:24">
      <c r="B29" s="1" t="s">
        <v>111</v>
      </c>
      <c r="C29" s="49">
        <f>SUMIFS(T_Sales[Revenue],T_Sales[Product],$B29)</f>
        <v>157606.96</v>
      </c>
      <c r="D29" s="1">
        <f>COUNTIFS(T_Sales[Product],$B29)</f>
        <v>7</v>
      </c>
      <c r="G29" s="1">
        <v>5</v>
      </c>
      <c r="H29" s="1" t="str">
        <f t="shared" si="0"/>
        <v>Glow Serum</v>
      </c>
      <c r="I29" s="49">
        <f t="shared" si="1"/>
        <v>212115.09</v>
      </c>
      <c r="M29" s="1" t="s">
        <v>487</v>
      </c>
      <c r="N29" s="49">
        <f>SUMIFS(T_Sales[Revenue],T_Sales[CustomerName],$M29)</f>
        <v>4213.14</v>
      </c>
      <c r="O29" s="1">
        <f>COUNTIFS(T_Sales[CustomerName],$M29)</f>
        <v>1</v>
      </c>
      <c r="Q29" s="1">
        <v>5</v>
      </c>
      <c r="R29" s="1" t="str">
        <f t="shared" si="2"/>
        <v>Neha Chatterjee</v>
      </c>
      <c r="S29" s="49">
        <f t="shared" si="3"/>
        <v>64432.91</v>
      </c>
      <c r="T29" s="1">
        <f t="shared" si="4"/>
        <v>3</v>
      </c>
      <c r="V29" s="1" t="s">
        <v>32</v>
      </c>
      <c r="W29" s="49">
        <f>SUMIFS(T_Sales[Revenue],T_Sales[PaymentMethod],$V29)</f>
        <v>697962.89</v>
      </c>
      <c r="X29" s="1">
        <f>COUNTIFS(T_Sales[PaymentMethod],$V29)</f>
        <v>40</v>
      </c>
    </row>
    <row r="30" ht="15" customHeight="1" spans="2:24">
      <c r="B30" s="1" t="s">
        <v>43</v>
      </c>
      <c r="C30" s="49">
        <f>SUMIFS(T_Sales[Revenue],T_Sales[Product],$B30)</f>
        <v>216119.18</v>
      </c>
      <c r="D30" s="1">
        <f>COUNTIFS(T_Sales[Product],$B30)</f>
        <v>10</v>
      </c>
      <c r="G30" s="1">
        <v>6</v>
      </c>
      <c r="H30" s="1" t="str">
        <f t="shared" si="0"/>
        <v>Jewel Comb</v>
      </c>
      <c r="I30" s="49">
        <f t="shared" si="1"/>
        <v>184323.15</v>
      </c>
      <c r="M30" s="1" t="s">
        <v>189</v>
      </c>
      <c r="N30" s="49">
        <f>SUMIFS(T_Sales[Revenue],T_Sales[CustomerName],$M30)</f>
        <v>39240.14</v>
      </c>
      <c r="O30" s="1">
        <f>COUNTIFS(T_Sales[CustomerName],$M30)</f>
        <v>2</v>
      </c>
      <c r="Q30" s="1">
        <v>6</v>
      </c>
      <c r="R30" s="1" t="str">
        <f t="shared" si="2"/>
        <v>Tara Das</v>
      </c>
      <c r="S30" s="49">
        <f t="shared" si="3"/>
        <v>62387.66</v>
      </c>
      <c r="T30" s="1">
        <f t="shared" si="4"/>
        <v>2</v>
      </c>
      <c r="V30" s="1" t="s">
        <v>50</v>
      </c>
      <c r="W30" s="49">
        <f>SUMIFS(T_Sales[Revenue],T_Sales[PaymentMethod],$V30)</f>
        <v>681887.18</v>
      </c>
      <c r="X30" s="1">
        <f>COUNTIFS(T_Sales[PaymentMethod],$V30)</f>
        <v>42</v>
      </c>
    </row>
    <row r="31" ht="15" customHeight="1" spans="2:20">
      <c r="B31" s="1" t="s">
        <v>17</v>
      </c>
      <c r="C31" s="49">
        <f>SUMIFS(T_Sales[Revenue],T_Sales[Product],$B31)</f>
        <v>212115.09</v>
      </c>
      <c r="D31" s="1">
        <f>COUNTIFS(T_Sales[Product],$B31)</f>
        <v>11</v>
      </c>
      <c r="G31" s="1">
        <v>7</v>
      </c>
      <c r="H31" s="1" t="str">
        <f t="shared" si="0"/>
        <v>Shimmer Palette</v>
      </c>
      <c r="I31" s="49">
        <f t="shared" si="1"/>
        <v>168909.36</v>
      </c>
      <c r="M31" s="1" t="s">
        <v>473</v>
      </c>
      <c r="N31" s="49">
        <f>SUMIFS(T_Sales[Revenue],T_Sales[CustomerName],$M31)</f>
        <v>9776.98</v>
      </c>
      <c r="O31" s="1">
        <f>COUNTIFS(T_Sales[CustomerName],$M31)</f>
        <v>1</v>
      </c>
      <c r="Q31" s="1">
        <v>7</v>
      </c>
      <c r="R31" s="1" t="str">
        <f t="shared" si="2"/>
        <v>Rohan Gupta</v>
      </c>
      <c r="S31" s="49">
        <f t="shared" si="3"/>
        <v>57724.35</v>
      </c>
      <c r="T31" s="1">
        <f t="shared" si="4"/>
        <v>3</v>
      </c>
    </row>
    <row r="32" ht="15" customHeight="1" spans="2:20">
      <c r="B32" s="1" t="s">
        <v>102</v>
      </c>
      <c r="C32" s="49">
        <f>SUMIFS(T_Sales[Revenue],T_Sales[Product],$B32)</f>
        <v>142886.91</v>
      </c>
      <c r="D32" s="1">
        <f>COUNTIFS(T_Sales[Product],$B32)</f>
        <v>9</v>
      </c>
      <c r="G32" s="1">
        <v>8</v>
      </c>
      <c r="H32" s="1" t="str">
        <f t="shared" si="0"/>
        <v>Rose Gold Mirror</v>
      </c>
      <c r="I32" s="49">
        <f t="shared" si="1"/>
        <v>167530.86</v>
      </c>
      <c r="M32" s="1" t="s">
        <v>462</v>
      </c>
      <c r="N32" s="49">
        <f>SUMIFS(T_Sales[Revenue],T_Sales[CustomerName],$M32)</f>
        <v>37960.4</v>
      </c>
      <c r="O32" s="1">
        <f>COUNTIFS(T_Sales[CustomerName],$M32)</f>
        <v>3</v>
      </c>
      <c r="Q32" s="1">
        <v>8</v>
      </c>
      <c r="R32" s="1" t="str">
        <f t="shared" si="2"/>
        <v>Ishita Menon</v>
      </c>
      <c r="S32" s="49">
        <f t="shared" si="3"/>
        <v>55849.89</v>
      </c>
      <c r="T32" s="1">
        <f t="shared" si="4"/>
        <v>3</v>
      </c>
    </row>
    <row r="33" ht="15" customHeight="1" spans="2:20">
      <c r="B33" s="1" t="s">
        <v>131</v>
      </c>
      <c r="C33" s="49">
        <f>SUMIFS(T_Sales[Revenue],T_Sales[Product],$B33)</f>
        <v>184323.15</v>
      </c>
      <c r="D33" s="1">
        <f>COUNTIFS(T_Sales[Product],$B33)</f>
        <v>9</v>
      </c>
      <c r="G33" s="1">
        <v>9</v>
      </c>
      <c r="H33" s="1" t="str">
        <f t="shared" si="0"/>
        <v>Citrus Cologne</v>
      </c>
      <c r="I33" s="49">
        <f t="shared" si="1"/>
        <v>157606.96</v>
      </c>
      <c r="M33" s="1" t="s">
        <v>152</v>
      </c>
      <c r="N33" s="49">
        <f>SUMIFS(T_Sales[Revenue],T_Sales[CustomerName],$M33)</f>
        <v>90721.25</v>
      </c>
      <c r="O33" s="1">
        <f>COUNTIFS(T_Sales[CustomerName],$M33)</f>
        <v>2</v>
      </c>
      <c r="Q33" s="1">
        <v>9</v>
      </c>
      <c r="R33" s="1" t="str">
        <f t="shared" si="2"/>
        <v>Vihaan Reddy</v>
      </c>
      <c r="S33" s="49">
        <f t="shared" si="3"/>
        <v>54645.43</v>
      </c>
      <c r="T33" s="1">
        <f t="shared" si="4"/>
        <v>2</v>
      </c>
    </row>
    <row r="34" ht="15" customHeight="1" spans="2:20">
      <c r="B34" s="1" t="s">
        <v>141</v>
      </c>
      <c r="C34" s="49">
        <f>SUMIFS(T_Sales[Revenue],T_Sales[Product],$B34)</f>
        <v>89634.52</v>
      </c>
      <c r="D34" s="1">
        <f>COUNTIFS(T_Sales[Product],$B34)</f>
        <v>7</v>
      </c>
      <c r="G34" s="1">
        <v>10</v>
      </c>
      <c r="H34" s="1" t="str">
        <f t="shared" si="0"/>
        <v>Repair Oil</v>
      </c>
      <c r="I34" s="49">
        <f t="shared" si="1"/>
        <v>154805.63</v>
      </c>
      <c r="M34" s="1" t="s">
        <v>115</v>
      </c>
      <c r="N34" s="49">
        <f>SUMIFS(T_Sales[Revenue],T_Sales[CustomerName],$M34)</f>
        <v>22545.31</v>
      </c>
      <c r="O34" s="1">
        <f>COUNTIFS(T_Sales[CustomerName],$M34)</f>
        <v>1</v>
      </c>
      <c r="Q34" s="1">
        <v>10</v>
      </c>
      <c r="R34" s="1" t="str">
        <f t="shared" si="2"/>
        <v>Priya Reddy</v>
      </c>
      <c r="S34" s="49">
        <f t="shared" si="3"/>
        <v>54014.4</v>
      </c>
      <c r="T34" s="1">
        <f t="shared" si="4"/>
        <v>1</v>
      </c>
    </row>
    <row r="35" ht="15" customHeight="1" spans="2:15">
      <c r="B35" s="1" t="s">
        <v>62</v>
      </c>
      <c r="C35" s="49">
        <f>SUMIFS(T_Sales[Revenue],T_Sales[Product],$B35)</f>
        <v>99918.9</v>
      </c>
      <c r="D35" s="1">
        <f>COUNTIFS(T_Sales[Product],$B35)</f>
        <v>4</v>
      </c>
      <c r="M35" s="1" t="s">
        <v>574</v>
      </c>
      <c r="N35" s="49">
        <f>SUMIFS(T_Sales[Revenue],T_Sales[CustomerName],$M35)</f>
        <v>4303.39</v>
      </c>
      <c r="O35" s="1">
        <f>COUNTIFS(T_Sales[CustomerName],$M35)</f>
        <v>1</v>
      </c>
    </row>
    <row r="36" ht="15" customHeight="1" spans="2:15">
      <c r="B36" s="1" t="s">
        <v>235</v>
      </c>
      <c r="C36" s="49">
        <f>SUMIFS(T_Sales[Revenue],T_Sales[Product],$B36)</f>
        <v>75572.35</v>
      </c>
      <c r="D36" s="1">
        <f>COUNTIFS(T_Sales[Product],$B36)</f>
        <v>6</v>
      </c>
      <c r="M36" s="1" t="s">
        <v>681</v>
      </c>
      <c r="N36" s="49">
        <f>SUMIFS(T_Sales[Revenue],T_Sales[CustomerName],$M36)</f>
        <v>12113.04</v>
      </c>
      <c r="O36" s="1">
        <f>COUNTIFS(T_Sales[CustomerName],$M36)</f>
        <v>1</v>
      </c>
    </row>
    <row r="37" ht="15" customHeight="1" spans="2:15">
      <c r="B37" s="1" t="s">
        <v>37</v>
      </c>
      <c r="C37" s="49">
        <f>SUMIFS(T_Sales[Revenue],T_Sales[Product],$B37)</f>
        <v>118844.67</v>
      </c>
      <c r="D37" s="1">
        <f>COUNTIFS(T_Sales[Product],$B37)</f>
        <v>6</v>
      </c>
      <c r="M37" s="1" t="s">
        <v>702</v>
      </c>
      <c r="N37" s="49">
        <f>SUMIFS(T_Sales[Revenue],T_Sales[CustomerName],$M37)</f>
        <v>21274.25</v>
      </c>
      <c r="O37" s="1">
        <f>COUNTIFS(T_Sales[CustomerName],$M37)</f>
        <v>1</v>
      </c>
    </row>
    <row r="38" ht="15" customHeight="1" spans="2:15">
      <c r="B38" s="1" t="s">
        <v>146</v>
      </c>
      <c r="C38" s="49">
        <f>SUMIFS(T_Sales[Revenue],T_Sales[Product],$B38)</f>
        <v>154805.63</v>
      </c>
      <c r="D38" s="1">
        <f>COUNTIFS(T_Sales[Product],$B38)</f>
        <v>11</v>
      </c>
      <c r="M38" s="1" t="s">
        <v>298</v>
      </c>
      <c r="N38" s="49">
        <f>SUMIFS(T_Sales[Revenue],T_Sales[CustomerName],$M38)</f>
        <v>1814.01</v>
      </c>
      <c r="O38" s="1">
        <f>COUNTIFS(T_Sales[CustomerName],$M38)</f>
        <v>1</v>
      </c>
    </row>
    <row r="39" ht="15" customHeight="1" spans="2:15">
      <c r="B39" s="1" t="s">
        <v>174</v>
      </c>
      <c r="C39" s="49">
        <f>SUMIFS(T_Sales[Revenue],T_Sales[Product],$B39)</f>
        <v>105538.14</v>
      </c>
      <c r="D39" s="1">
        <f>COUNTIFS(T_Sales[Product],$B39)</f>
        <v>7</v>
      </c>
      <c r="M39" s="1" t="s">
        <v>339</v>
      </c>
      <c r="N39" s="49">
        <f>SUMIFS(T_Sales[Revenue],T_Sales[CustomerName],$M39)</f>
        <v>35440.46</v>
      </c>
      <c r="O39" s="1">
        <f>COUNTIFS(T_Sales[CustomerName],$M39)</f>
        <v>3</v>
      </c>
    </row>
    <row r="40" ht="15" customHeight="1" spans="2:15">
      <c r="B40" s="1" t="s">
        <v>25</v>
      </c>
      <c r="C40" s="49">
        <f>SUMIFS(T_Sales[Revenue],T_Sales[Product],$B40)</f>
        <v>167530.86</v>
      </c>
      <c r="D40" s="1">
        <f>COUNTIFS(T_Sales[Product],$B40)</f>
        <v>8</v>
      </c>
      <c r="M40" s="1" t="s">
        <v>546</v>
      </c>
      <c r="N40" s="49">
        <f>SUMIFS(T_Sales[Revenue],T_Sales[CustomerName],$M40)</f>
        <v>22998.01</v>
      </c>
      <c r="O40" s="1">
        <f>COUNTIFS(T_Sales[CustomerName],$M40)</f>
        <v>1</v>
      </c>
    </row>
    <row r="41" ht="15" customHeight="1" spans="2:15">
      <c r="B41" s="1" t="s">
        <v>81</v>
      </c>
      <c r="C41" s="49">
        <f>SUMIFS(T_Sales[Revenue],T_Sales[Product],$B41)</f>
        <v>76822.63</v>
      </c>
      <c r="D41" s="1">
        <f>COUNTIFS(T_Sales[Product],$B41)</f>
        <v>3</v>
      </c>
      <c r="M41" s="1" t="s">
        <v>630</v>
      </c>
      <c r="N41" s="49">
        <f>SUMIFS(T_Sales[Revenue],T_Sales[CustomerName],$M41)</f>
        <v>28828.2</v>
      </c>
      <c r="O41" s="1">
        <f>COUNTIFS(T_Sales[CustomerName],$M41)</f>
        <v>1</v>
      </c>
    </row>
    <row r="42" ht="15" customHeight="1" spans="2:15">
      <c r="B42" s="1" t="s">
        <v>124</v>
      </c>
      <c r="C42" s="49">
        <f>SUMIFS(T_Sales[Revenue],T_Sales[Product],$B42)</f>
        <v>143224.89</v>
      </c>
      <c r="D42" s="1">
        <f>COUNTIFS(T_Sales[Product],$B42)</f>
        <v>12</v>
      </c>
      <c r="M42" s="1" t="s">
        <v>444</v>
      </c>
      <c r="N42" s="49">
        <f>SUMIFS(T_Sales[Revenue],T_Sales[CustomerName],$M42)</f>
        <v>4039.64</v>
      </c>
      <c r="O42" s="1">
        <f>COUNTIFS(T_Sales[CustomerName],$M42)</f>
        <v>1</v>
      </c>
    </row>
    <row r="43" ht="15" customHeight="1" spans="2:15">
      <c r="B43" s="1" t="s">
        <v>56</v>
      </c>
      <c r="C43" s="49">
        <f>SUMIFS(T_Sales[Revenue],T_Sales[Product],$B43)</f>
        <v>168909.36</v>
      </c>
      <c r="D43" s="1">
        <f>COUNTIFS(T_Sales[Product],$B43)</f>
        <v>11</v>
      </c>
      <c r="M43" s="1" t="s">
        <v>605</v>
      </c>
      <c r="N43" s="49">
        <f>SUMIFS(T_Sales[Revenue],T_Sales[CustomerName],$M43)</f>
        <v>27675.05</v>
      </c>
      <c r="O43" s="1">
        <f>COUNTIFS(T_Sales[CustomerName],$M43)</f>
        <v>2</v>
      </c>
    </row>
    <row r="44" ht="15" customHeight="1" spans="2:15">
      <c r="B44" s="1" t="s">
        <v>89</v>
      </c>
      <c r="C44" s="49">
        <f>SUMIFS(T_Sales[Revenue],T_Sales[Product],$B44)</f>
        <v>100912.87</v>
      </c>
      <c r="D44" s="1">
        <f>COUNTIFS(T_Sales[Product],$B44)</f>
        <v>6</v>
      </c>
      <c r="M44" s="1" t="s">
        <v>326</v>
      </c>
      <c r="N44" s="49">
        <f>SUMIFS(T_Sales[Revenue],T_Sales[CustomerName],$M44)</f>
        <v>5468.16</v>
      </c>
      <c r="O44" s="1">
        <f>COUNTIFS(T_Sales[CustomerName],$M44)</f>
        <v>1</v>
      </c>
    </row>
    <row r="45" ht="15" customHeight="1" spans="2:15">
      <c r="B45" s="1" t="s">
        <v>158</v>
      </c>
      <c r="C45" s="49">
        <f>SUMIFS(T_Sales[Revenue],T_Sales[Product],$B45)</f>
        <v>95428.14</v>
      </c>
      <c r="D45" s="1">
        <f>COUNTIFS(T_Sales[Product],$B45)</f>
        <v>8</v>
      </c>
      <c r="M45" s="1" t="s">
        <v>69</v>
      </c>
      <c r="N45" s="49">
        <f>SUMIFS(T_Sales[Revenue],T_Sales[CustomerName],$M45)</f>
        <v>24127.21</v>
      </c>
      <c r="O45" s="1">
        <f>COUNTIFS(T_Sales[CustomerName],$M45)</f>
        <v>1</v>
      </c>
    </row>
    <row r="46" ht="15" customHeight="1" spans="2:15">
      <c r="B46" s="1" t="s">
        <v>49</v>
      </c>
      <c r="C46" s="49">
        <f>SUMIFS(T_Sales[Revenue],T_Sales[Product],$B46)</f>
        <v>218015.62</v>
      </c>
      <c r="D46" s="1">
        <f>COUNTIFS(T_Sales[Product],$B46)</f>
        <v>14</v>
      </c>
      <c r="M46" s="1" t="s">
        <v>467</v>
      </c>
      <c r="N46" s="49">
        <f>SUMIFS(T_Sales[Revenue],T_Sales[CustomerName],$M46)</f>
        <v>25247.4</v>
      </c>
      <c r="O46" s="1">
        <f>COUNTIFS(T_Sales[CustomerName],$M46)</f>
        <v>1</v>
      </c>
    </row>
    <row r="47" ht="15" customHeight="1" spans="2:15">
      <c r="B47" s="1" t="s">
        <v>106</v>
      </c>
      <c r="C47" s="49">
        <f>SUMIFS(T_Sales[Revenue],T_Sales[Product],$B47)</f>
        <v>79692.52</v>
      </c>
      <c r="D47" s="1">
        <f>COUNTIFS(T_Sales[Product],$B47)</f>
        <v>8</v>
      </c>
      <c r="M47" s="1" t="s">
        <v>65</v>
      </c>
      <c r="N47" s="49">
        <f>SUMIFS(T_Sales[Revenue],T_Sales[CustomerName],$M47)</f>
        <v>21465.14</v>
      </c>
      <c r="O47" s="1">
        <f>COUNTIFS(T_Sales[CustomerName],$M47)</f>
        <v>1</v>
      </c>
    </row>
    <row r="48" ht="15" customHeight="1" spans="2:15">
      <c r="B48" s="1" t="s">
        <v>154</v>
      </c>
      <c r="C48" s="49">
        <f>SUMIFS(T_Sales[Revenue],T_Sales[Product],$B48)</f>
        <v>109020.77</v>
      </c>
      <c r="D48" s="1">
        <f>COUNTIFS(T_Sales[Product],$B48)</f>
        <v>6</v>
      </c>
      <c r="M48" s="1" t="s">
        <v>711</v>
      </c>
      <c r="N48" s="49">
        <f>SUMIFS(T_Sales[Revenue],T_Sales[CustomerName],$M48)</f>
        <v>25622.86</v>
      </c>
      <c r="O48" s="1">
        <f>COUNTIFS(T_Sales[CustomerName],$M48)</f>
        <v>1</v>
      </c>
    </row>
    <row r="49" ht="15" customHeight="1" spans="2:15">
      <c r="B49" s="1" t="s">
        <v>116</v>
      </c>
      <c r="C49" s="49">
        <f>SUMIFS(T_Sales[Revenue],T_Sales[Product],$B49)</f>
        <v>147464.29</v>
      </c>
      <c r="D49" s="1">
        <f>COUNTIFS(T_Sales[Product],$B49)</f>
        <v>11</v>
      </c>
      <c r="M49" s="1" t="s">
        <v>452</v>
      </c>
      <c r="N49" s="49">
        <f>SUMIFS(T_Sales[Revenue],T_Sales[CustomerName],$M49)</f>
        <v>35603.1</v>
      </c>
      <c r="O49" s="1">
        <f>COUNTIFS(T_Sales[CustomerName],$M49)</f>
        <v>2</v>
      </c>
    </row>
    <row r="50" ht="15" customHeight="1" spans="13:15">
      <c r="M50" s="1" t="s">
        <v>646</v>
      </c>
      <c r="N50" s="49">
        <f>SUMIFS(T_Sales[Revenue],T_Sales[CustomerName],$M50)</f>
        <v>11687.74</v>
      </c>
      <c r="O50" s="1">
        <f>COUNTIFS(T_Sales[CustomerName],$M50)</f>
        <v>1</v>
      </c>
    </row>
    <row r="51" ht="15" customHeight="1" spans="13:15">
      <c r="M51" s="1" t="s">
        <v>470</v>
      </c>
      <c r="N51" s="49">
        <f>SUMIFS(T_Sales[Revenue],T_Sales[CustomerName],$M51)</f>
        <v>31425.37</v>
      </c>
      <c r="O51" s="1">
        <f>COUNTIFS(T_Sales[CustomerName],$M51)</f>
        <v>2</v>
      </c>
    </row>
    <row r="52" ht="15" customHeight="1" spans="13:15">
      <c r="M52" s="1" t="s">
        <v>490</v>
      </c>
      <c r="N52" s="49">
        <f>SUMIFS(T_Sales[Revenue],T_Sales[CustomerName],$M52)</f>
        <v>15355.25</v>
      </c>
      <c r="O52" s="1">
        <f>COUNTIFS(T_Sales[CustomerName],$M52)</f>
        <v>1</v>
      </c>
    </row>
    <row r="53" ht="15" customHeight="1" spans="13:15">
      <c r="M53" s="1" t="s">
        <v>157</v>
      </c>
      <c r="N53" s="49">
        <f>SUMIFS(T_Sales[Revenue],T_Sales[CustomerName],$M53)</f>
        <v>29713.07</v>
      </c>
      <c r="O53" s="1">
        <f>COUNTIFS(T_Sales[CustomerName],$M53)</f>
        <v>1</v>
      </c>
    </row>
    <row r="54" ht="15" customHeight="1" spans="13:15">
      <c r="M54" s="1" t="s">
        <v>211</v>
      </c>
      <c r="N54" s="49">
        <f>SUMIFS(T_Sales[Revenue],T_Sales[CustomerName],$M54)</f>
        <v>22420.62</v>
      </c>
      <c r="O54" s="1">
        <f>COUNTIFS(T_Sales[CustomerName],$M54)</f>
        <v>1</v>
      </c>
    </row>
    <row r="55" ht="15" customHeight="1" spans="13:15">
      <c r="M55" s="1" t="s">
        <v>427</v>
      </c>
      <c r="N55" s="49">
        <f>SUMIFS(T_Sales[Revenue],T_Sales[CustomerName],$M55)</f>
        <v>6040.84</v>
      </c>
      <c r="O55" s="1">
        <f>COUNTIFS(T_Sales[CustomerName],$M55)</f>
        <v>1</v>
      </c>
    </row>
    <row r="56" ht="15" customHeight="1" spans="13:15">
      <c r="M56" s="1" t="s">
        <v>531</v>
      </c>
      <c r="N56" s="49">
        <f>SUMIFS(T_Sales[Revenue],T_Sales[CustomerName],$M56)</f>
        <v>83470.57</v>
      </c>
      <c r="O56" s="1">
        <f>COUNTIFS(T_Sales[CustomerName],$M56)</f>
        <v>3</v>
      </c>
    </row>
    <row r="57" ht="15" customHeight="1" spans="13:15">
      <c r="M57" s="1" t="s">
        <v>284</v>
      </c>
      <c r="N57" s="49">
        <f>SUMIFS(T_Sales[Revenue],T_Sales[CustomerName],$M57)</f>
        <v>20557.09</v>
      </c>
      <c r="O57" s="1">
        <f>COUNTIFS(T_Sales[CustomerName],$M57)</f>
        <v>2</v>
      </c>
    </row>
    <row r="58" ht="15" customHeight="1" spans="13:15">
      <c r="M58" s="1" t="s">
        <v>649</v>
      </c>
      <c r="N58" s="49">
        <f>SUMIFS(T_Sales[Revenue],T_Sales[CustomerName],$M58)</f>
        <v>40910.4</v>
      </c>
      <c r="O58" s="1">
        <f>COUNTIFS(T_Sales[CustomerName],$M58)</f>
        <v>1</v>
      </c>
    </row>
    <row r="59" ht="15" customHeight="1" spans="13:15">
      <c r="M59" s="1" t="s">
        <v>591</v>
      </c>
      <c r="N59" s="49">
        <f>SUMIFS(T_Sales[Revenue],T_Sales[CustomerName],$M59)</f>
        <v>4188.73</v>
      </c>
      <c r="O59" s="1">
        <f>COUNTIFS(T_Sales[CustomerName],$M59)</f>
        <v>1</v>
      </c>
    </row>
    <row r="60" ht="15" customHeight="1" spans="13:15">
      <c r="M60" s="1" t="s">
        <v>672</v>
      </c>
      <c r="N60" s="49">
        <f>SUMIFS(T_Sales[Revenue],T_Sales[CustomerName],$M60)</f>
        <v>13291.11</v>
      </c>
      <c r="O60" s="1">
        <f>COUNTIFS(T_Sales[CustomerName],$M60)</f>
        <v>1</v>
      </c>
    </row>
    <row r="61" ht="15" customHeight="1" spans="13:15">
      <c r="M61" s="1" t="s">
        <v>164</v>
      </c>
      <c r="N61" s="49">
        <f>SUMIFS(T_Sales[Revenue],T_Sales[CustomerName],$M61)</f>
        <v>6702.5</v>
      </c>
      <c r="O61" s="1">
        <f>COUNTIFS(T_Sales[CustomerName],$M61)</f>
        <v>1</v>
      </c>
    </row>
    <row r="62" ht="15" customHeight="1" spans="13:15">
      <c r="M62" s="1" t="s">
        <v>502</v>
      </c>
      <c r="N62" s="49">
        <f>SUMIFS(T_Sales[Revenue],T_Sales[CustomerName],$M62)</f>
        <v>1385.55</v>
      </c>
      <c r="O62" s="1">
        <f>COUNTIFS(T_Sales[CustomerName],$M62)</f>
        <v>1</v>
      </c>
    </row>
    <row r="63" ht="15" customHeight="1" spans="13:15">
      <c r="M63" s="1" t="s">
        <v>675</v>
      </c>
      <c r="N63" s="49">
        <f>SUMIFS(T_Sales[Revenue],T_Sales[CustomerName],$M63)</f>
        <v>43214.13</v>
      </c>
      <c r="O63" s="1">
        <f>COUNTIFS(T_Sales[CustomerName],$M63)</f>
        <v>1</v>
      </c>
    </row>
    <row r="64" ht="15" customHeight="1" spans="13:15">
      <c r="M64" s="1" t="s">
        <v>697</v>
      </c>
      <c r="N64" s="49">
        <f>SUMIFS(T_Sales[Revenue],T_Sales[CustomerName],$M64)</f>
        <v>9599.18</v>
      </c>
      <c r="O64" s="1">
        <f>COUNTIFS(T_Sales[CustomerName],$M64)</f>
        <v>1</v>
      </c>
    </row>
    <row r="65" ht="15" customHeight="1" spans="13:15">
      <c r="M65" s="1" t="s">
        <v>518</v>
      </c>
      <c r="N65" s="49">
        <f>SUMIFS(T_Sales[Revenue],T_Sales[CustomerName],$M65)</f>
        <v>27767.28</v>
      </c>
      <c r="O65" s="1">
        <f>COUNTIFS(T_Sales[CustomerName],$M65)</f>
        <v>1</v>
      </c>
    </row>
    <row r="66" ht="15" customHeight="1" spans="13:15">
      <c r="M66" s="1" t="s">
        <v>375</v>
      </c>
      <c r="N66" s="49">
        <f>SUMIFS(T_Sales[Revenue],T_Sales[CustomerName],$M66)</f>
        <v>31178.24</v>
      </c>
      <c r="O66" s="1">
        <f>COUNTIFS(T_Sales[CustomerName],$M66)</f>
        <v>2</v>
      </c>
    </row>
    <row r="67" ht="15" customHeight="1" spans="13:15">
      <c r="M67" s="1" t="s">
        <v>481</v>
      </c>
      <c r="N67" s="49">
        <f>SUMIFS(T_Sales[Revenue],T_Sales[CustomerName],$M67)</f>
        <v>9384.99</v>
      </c>
      <c r="O67" s="1">
        <f>COUNTIFS(T_Sales[CustomerName],$M67)</f>
        <v>1</v>
      </c>
    </row>
    <row r="68" ht="15" customHeight="1" spans="13:15">
      <c r="M68" s="1" t="s">
        <v>353</v>
      </c>
      <c r="N68" s="49">
        <f>SUMIFS(T_Sales[Revenue],T_Sales[CustomerName],$M68)</f>
        <v>22296.36</v>
      </c>
      <c r="O68" s="1">
        <f>COUNTIFS(T_Sales[CustomerName],$M68)</f>
        <v>2</v>
      </c>
    </row>
    <row r="69" ht="15" customHeight="1" spans="13:15">
      <c r="M69" s="1" t="s">
        <v>652</v>
      </c>
      <c r="N69" s="49">
        <f>SUMIFS(T_Sales[Revenue],T_Sales[CustomerName],$M69)</f>
        <v>2758.24</v>
      </c>
      <c r="O69" s="1">
        <f>COUNTIFS(T_Sales[CustomerName],$M69)</f>
        <v>1</v>
      </c>
    </row>
    <row r="70" ht="15" customHeight="1" spans="13:15">
      <c r="M70" s="1" t="s">
        <v>624</v>
      </c>
      <c r="N70" s="49">
        <f>SUMIFS(T_Sales[Revenue],T_Sales[CustomerName],$M70)</f>
        <v>36335.97</v>
      </c>
      <c r="O70" s="1">
        <f>COUNTIFS(T_Sales[CustomerName],$M70)</f>
        <v>1</v>
      </c>
    </row>
    <row r="71" ht="15" customHeight="1" spans="13:15">
      <c r="M71" s="1" t="s">
        <v>133</v>
      </c>
      <c r="N71" s="49">
        <f>SUMIFS(T_Sales[Revenue],T_Sales[CustomerName],$M71)</f>
        <v>5794.42</v>
      </c>
      <c r="O71" s="1">
        <f>COUNTIFS(T_Sales[CustomerName],$M71)</f>
        <v>1</v>
      </c>
    </row>
    <row r="72" ht="15" customHeight="1" spans="13:15">
      <c r="M72" s="1" t="s">
        <v>597</v>
      </c>
      <c r="N72" s="49">
        <f>SUMIFS(T_Sales[Revenue],T_Sales[CustomerName],$M72)</f>
        <v>35189.07</v>
      </c>
      <c r="O72" s="1">
        <f>COUNTIFS(T_Sales[CustomerName],$M72)</f>
        <v>1</v>
      </c>
    </row>
    <row r="73" ht="15" customHeight="1" spans="13:15">
      <c r="M73" s="1" t="s">
        <v>229</v>
      </c>
      <c r="N73" s="49">
        <f>SUMIFS(T_Sales[Revenue],T_Sales[CustomerName],$M73)</f>
        <v>28039.67</v>
      </c>
      <c r="O73" s="1">
        <f>COUNTIFS(T_Sales[CustomerName],$M73)</f>
        <v>1</v>
      </c>
    </row>
    <row r="74" ht="15" customHeight="1" spans="13:15">
      <c r="M74" s="1" t="s">
        <v>557</v>
      </c>
      <c r="N74" s="49">
        <f>SUMIFS(T_Sales[Revenue],T_Sales[CustomerName],$M74)</f>
        <v>48603.83</v>
      </c>
      <c r="O74" s="1">
        <f>COUNTIFS(T_Sales[CustomerName],$M74)</f>
        <v>1</v>
      </c>
    </row>
    <row r="75" ht="15" customHeight="1" spans="13:15">
      <c r="M75" s="1" t="s">
        <v>382</v>
      </c>
      <c r="N75" s="49">
        <f>SUMIFS(T_Sales[Revenue],T_Sales[CustomerName],$M75)</f>
        <v>8962.5</v>
      </c>
      <c r="O75" s="1">
        <f>COUNTIFS(T_Sales[CustomerName],$M75)</f>
        <v>1</v>
      </c>
    </row>
    <row r="76" ht="15" customHeight="1" spans="13:15">
      <c r="M76" s="1" t="s">
        <v>684</v>
      </c>
      <c r="N76" s="49">
        <f>SUMIFS(T_Sales[Revenue],T_Sales[CustomerName],$M76)</f>
        <v>7187.81</v>
      </c>
      <c r="O76" s="1">
        <f>COUNTIFS(T_Sales[CustomerName],$M76)</f>
        <v>1</v>
      </c>
    </row>
    <row r="77" ht="15" customHeight="1" spans="13:15">
      <c r="M77" s="1" t="s">
        <v>295</v>
      </c>
      <c r="N77" s="49">
        <f>SUMIFS(T_Sales[Revenue],T_Sales[CustomerName],$M77)</f>
        <v>55849.89</v>
      </c>
      <c r="O77" s="1">
        <f>COUNTIFS(T_Sales[CustomerName],$M77)</f>
        <v>3</v>
      </c>
    </row>
    <row r="78" ht="15" customHeight="1" spans="13:15">
      <c r="M78" s="1" t="s">
        <v>342</v>
      </c>
      <c r="N78" s="49">
        <f>SUMIFS(T_Sales[Revenue],T_Sales[CustomerName],$M78)</f>
        <v>4300.7</v>
      </c>
      <c r="O78" s="1">
        <f>COUNTIFS(T_Sales[CustomerName],$M78)</f>
        <v>1</v>
      </c>
    </row>
    <row r="79" ht="15" customHeight="1" spans="13:15">
      <c r="M79" s="1" t="s">
        <v>278</v>
      </c>
      <c r="N79" s="49">
        <f>SUMIFS(T_Sales[Revenue],T_Sales[CustomerName],$M79)</f>
        <v>2806.45</v>
      </c>
      <c r="O79" s="1">
        <f>COUNTIFS(T_Sales[CustomerName],$M79)</f>
        <v>1</v>
      </c>
    </row>
    <row r="80" ht="15" customHeight="1" spans="13:15">
      <c r="M80" s="1" t="s">
        <v>617</v>
      </c>
      <c r="N80" s="49">
        <f>SUMIFS(T_Sales[Revenue],T_Sales[CustomerName],$M80)</f>
        <v>50485.93</v>
      </c>
      <c r="O80" s="1">
        <f>COUNTIFS(T_Sales[CustomerName],$M80)</f>
        <v>1</v>
      </c>
    </row>
    <row r="81" ht="15" customHeight="1" spans="13:15">
      <c r="M81" s="1" t="s">
        <v>248</v>
      </c>
      <c r="N81" s="49">
        <f>SUMIFS(T_Sales[Revenue],T_Sales[CustomerName],$M81)</f>
        <v>25127.68</v>
      </c>
      <c r="O81" s="1">
        <f>COUNTIFS(T_Sales[CustomerName],$M81)</f>
        <v>1</v>
      </c>
    </row>
    <row r="82" ht="15" customHeight="1" spans="13:15">
      <c r="M82" s="1" t="s">
        <v>705</v>
      </c>
      <c r="N82" s="49">
        <f>SUMIFS(T_Sales[Revenue],T_Sales[CustomerName],$M82)</f>
        <v>7261.73</v>
      </c>
      <c r="O82" s="1">
        <f>COUNTIFS(T_Sales[CustomerName],$M82)</f>
        <v>1</v>
      </c>
    </row>
    <row r="83" ht="15" customHeight="1" spans="13:15">
      <c r="M83" s="1" t="s">
        <v>385</v>
      </c>
      <c r="N83" s="49">
        <f>SUMIFS(T_Sales[Revenue],T_Sales[CustomerName],$M83)</f>
        <v>2488.38</v>
      </c>
      <c r="O83" s="1">
        <f>COUNTIFS(T_Sales[CustomerName],$M83)</f>
        <v>1</v>
      </c>
    </row>
    <row r="84" ht="15" customHeight="1" spans="13:15">
      <c r="M84" s="1" t="s">
        <v>600</v>
      </c>
      <c r="N84" s="49">
        <f>SUMIFS(T_Sales[Revenue],T_Sales[CustomerName],$M84)</f>
        <v>28319.5</v>
      </c>
      <c r="O84" s="1">
        <f>COUNTIFS(T_Sales[CustomerName],$M84)</f>
        <v>1</v>
      </c>
    </row>
    <row r="85" ht="15" customHeight="1" spans="13:15">
      <c r="M85" s="1" t="s">
        <v>127</v>
      </c>
      <c r="N85" s="49">
        <f>SUMIFS(T_Sales[Revenue],T_Sales[CustomerName],$M85)</f>
        <v>25695.44</v>
      </c>
      <c r="O85" s="1">
        <f>COUNTIFS(T_Sales[CustomerName],$M85)</f>
        <v>2</v>
      </c>
    </row>
    <row r="86" ht="15" customHeight="1" spans="13:15">
      <c r="M86" s="1" t="s">
        <v>537</v>
      </c>
      <c r="N86" s="49">
        <f>SUMIFS(T_Sales[Revenue],T_Sales[CustomerName],$M86)</f>
        <v>36792.02</v>
      </c>
      <c r="O86" s="1">
        <f>COUNTIFS(T_Sales[CustomerName],$M86)</f>
        <v>1</v>
      </c>
    </row>
    <row r="87" ht="15" customHeight="1" spans="13:15">
      <c r="M87" s="1" t="s">
        <v>305</v>
      </c>
      <c r="N87" s="49">
        <f>SUMIFS(T_Sales[Revenue],T_Sales[CustomerName],$M87)</f>
        <v>20020.08</v>
      </c>
      <c r="O87" s="1">
        <f>COUNTIFS(T_Sales[CustomerName],$M87)</f>
        <v>3</v>
      </c>
    </row>
    <row r="88" ht="15" customHeight="1" spans="13:15">
      <c r="M88" s="1" t="s">
        <v>350</v>
      </c>
      <c r="N88" s="49">
        <f>SUMIFS(T_Sales[Revenue],T_Sales[CustomerName],$M88)</f>
        <v>6047.76</v>
      </c>
      <c r="O88" s="1">
        <f>COUNTIFS(T_Sales[CustomerName],$M88)</f>
        <v>1</v>
      </c>
    </row>
    <row r="89" ht="15" customHeight="1" spans="13:15">
      <c r="M89" s="1" t="s">
        <v>388</v>
      </c>
      <c r="N89" s="49">
        <f>SUMIFS(T_Sales[Revenue],T_Sales[CustomerName],$M89)</f>
        <v>7540.31</v>
      </c>
      <c r="O89" s="1">
        <f>COUNTIFS(T_Sales[CustomerName],$M89)</f>
        <v>2</v>
      </c>
    </row>
    <row r="90" ht="15" customHeight="1" spans="13:15">
      <c r="M90" s="1" t="s">
        <v>380</v>
      </c>
      <c r="N90" s="49">
        <f>SUMIFS(T_Sales[Revenue],T_Sales[CustomerName],$M90)</f>
        <v>5243.16</v>
      </c>
      <c r="O90" s="1">
        <f>COUNTIFS(T_Sales[CustomerName],$M90)</f>
        <v>1</v>
      </c>
    </row>
    <row r="91" ht="15" customHeight="1" spans="13:15">
      <c r="M91" s="1" t="s">
        <v>170</v>
      </c>
      <c r="N91" s="49">
        <f>SUMIFS(T_Sales[Revenue],T_Sales[CustomerName],$M91)</f>
        <v>16353.9</v>
      </c>
      <c r="O91" s="1">
        <f>COUNTIFS(T_Sales[CustomerName],$M91)</f>
        <v>1</v>
      </c>
    </row>
    <row r="92" ht="15" customHeight="1" spans="13:15">
      <c r="M92" s="1" t="s">
        <v>286</v>
      </c>
      <c r="N92" s="49">
        <f>SUMIFS(T_Sales[Revenue],T_Sales[CustomerName],$M92)</f>
        <v>12415.17</v>
      </c>
      <c r="O92" s="1">
        <f>COUNTIFS(T_Sales[CustomerName],$M92)</f>
        <v>1</v>
      </c>
    </row>
    <row r="93" ht="15" customHeight="1" spans="13:15">
      <c r="M93" s="1" t="s">
        <v>347</v>
      </c>
      <c r="N93" s="49">
        <f>SUMIFS(T_Sales[Revenue],T_Sales[CustomerName],$M93)</f>
        <v>39388.64</v>
      </c>
      <c r="O93" s="1">
        <f>COUNTIFS(T_Sales[CustomerName],$M93)</f>
        <v>1</v>
      </c>
    </row>
    <row r="94" ht="15" customHeight="1" spans="13:15">
      <c r="M94" s="1" t="s">
        <v>79</v>
      </c>
      <c r="N94" s="49">
        <f>SUMIFS(T_Sales[Revenue],T_Sales[CustomerName],$M94)</f>
        <v>2567.98</v>
      </c>
      <c r="O94" s="1">
        <f>COUNTIFS(T_Sales[CustomerName],$M94)</f>
        <v>1</v>
      </c>
    </row>
    <row r="95" ht="15" customHeight="1" spans="13:15">
      <c r="M95" s="1" t="s">
        <v>373</v>
      </c>
      <c r="N95" s="49">
        <f>SUMIFS(T_Sales[Revenue],T_Sales[CustomerName],$M95)</f>
        <v>13206.64</v>
      </c>
      <c r="O95" s="1">
        <f>COUNTIFS(T_Sales[CustomerName],$M95)</f>
        <v>1</v>
      </c>
    </row>
    <row r="96" ht="15" customHeight="1" spans="13:15">
      <c r="M96" s="1" t="s">
        <v>668</v>
      </c>
      <c r="N96" s="49">
        <f>SUMIFS(T_Sales[Revenue],T_Sales[CustomerName],$M96)</f>
        <v>8535.78</v>
      </c>
      <c r="O96" s="1">
        <f>COUNTIFS(T_Sales[CustomerName],$M96)</f>
        <v>1</v>
      </c>
    </row>
    <row r="97" ht="15" customHeight="1" spans="13:15">
      <c r="M97" s="1" t="s">
        <v>715</v>
      </c>
      <c r="N97" s="49">
        <f>SUMIFS(T_Sales[Revenue],T_Sales[CustomerName],$M97)</f>
        <v>16570.15</v>
      </c>
      <c r="O97" s="1">
        <f>COUNTIFS(T_Sales[CustomerName],$M97)</f>
        <v>2</v>
      </c>
    </row>
    <row r="98" ht="15" customHeight="1" spans="13:15">
      <c r="M98" s="1" t="s">
        <v>101</v>
      </c>
      <c r="N98" s="49">
        <f>SUMIFS(T_Sales[Revenue],T_Sales[CustomerName],$M98)</f>
        <v>11059.14</v>
      </c>
      <c r="O98" s="1">
        <f>COUNTIFS(T_Sales[CustomerName],$M98)</f>
        <v>2</v>
      </c>
    </row>
    <row r="99" ht="15" customHeight="1" spans="13:15">
      <c r="M99" s="1" t="s">
        <v>60</v>
      </c>
      <c r="N99" s="49">
        <f>SUMIFS(T_Sales[Revenue],T_Sales[CustomerName],$M99)</f>
        <v>45121.77</v>
      </c>
      <c r="O99" s="1">
        <f>COUNTIFS(T_Sales[CustomerName],$M99)</f>
        <v>1</v>
      </c>
    </row>
    <row r="100" ht="15" customHeight="1" spans="13:15">
      <c r="M100" s="1" t="s">
        <v>308</v>
      </c>
      <c r="N100" s="49">
        <f>SUMIFS(T_Sales[Revenue],T_Sales[CustomerName],$M100)</f>
        <v>44739.94</v>
      </c>
      <c r="O100" s="1">
        <f>COUNTIFS(T_Sales[CustomerName],$M100)</f>
        <v>2</v>
      </c>
    </row>
    <row r="101" ht="15" customHeight="1" spans="13:15">
      <c r="M101" s="1" t="s">
        <v>73</v>
      </c>
      <c r="N101" s="49">
        <f>SUMIFS(T_Sales[Revenue],T_Sales[CustomerName],$M101)</f>
        <v>24370.68</v>
      </c>
      <c r="O101" s="1">
        <f>COUNTIFS(T_Sales[CustomerName],$M101)</f>
        <v>1</v>
      </c>
    </row>
    <row r="102" ht="15" customHeight="1" spans="13:15">
      <c r="M102" s="1" t="s">
        <v>123</v>
      </c>
      <c r="N102" s="49">
        <f>SUMIFS(T_Sales[Revenue],T_Sales[CustomerName],$M102)</f>
        <v>31081.31</v>
      </c>
      <c r="O102" s="1">
        <f>COUNTIFS(T_Sales[CustomerName],$M102)</f>
        <v>2</v>
      </c>
    </row>
    <row r="103" ht="15" customHeight="1" spans="13:15">
      <c r="M103" s="1" t="s">
        <v>332</v>
      </c>
      <c r="N103" s="49">
        <f>SUMIFS(T_Sales[Revenue],T_Sales[CustomerName],$M103)</f>
        <v>16324.12</v>
      </c>
      <c r="O103" s="1">
        <f>COUNTIFS(T_Sales[CustomerName],$M103)</f>
        <v>1</v>
      </c>
    </row>
    <row r="104" ht="15" customHeight="1" spans="13:15">
      <c r="M104" s="1" t="s">
        <v>272</v>
      </c>
      <c r="N104" s="49">
        <f>SUMIFS(T_Sales[Revenue],T_Sales[CustomerName],$M104)</f>
        <v>36954.54</v>
      </c>
      <c r="O104" s="1">
        <f>COUNTIFS(T_Sales[CustomerName],$M104)</f>
        <v>2</v>
      </c>
    </row>
    <row r="105" ht="15" customHeight="1" spans="13:15">
      <c r="M105" s="1" t="s">
        <v>144</v>
      </c>
      <c r="N105" s="49">
        <f>SUMIFS(T_Sales[Revenue],T_Sales[CustomerName],$M105)</f>
        <v>3819.41</v>
      </c>
      <c r="O105" s="1">
        <f>COUNTIFS(T_Sales[CustomerName],$M105)</f>
        <v>1</v>
      </c>
    </row>
    <row r="106" ht="15" customHeight="1" spans="13:15">
      <c r="M106" s="1" t="s">
        <v>139</v>
      </c>
      <c r="N106" s="49">
        <f>SUMIFS(T_Sales[Revenue],T_Sales[CustomerName],$M106)</f>
        <v>18955.69</v>
      </c>
      <c r="O106" s="1">
        <f>COUNTIFS(T_Sales[CustomerName],$M106)</f>
        <v>2</v>
      </c>
    </row>
    <row r="107" ht="15" customHeight="1" spans="13:15">
      <c r="M107" s="1" t="s">
        <v>314</v>
      </c>
      <c r="N107" s="49">
        <f>SUMIFS(T_Sales[Revenue],T_Sales[CustomerName],$M107)</f>
        <v>33924.47</v>
      </c>
      <c r="O107" s="1">
        <f>COUNTIFS(T_Sales[CustomerName],$M107)</f>
        <v>2</v>
      </c>
    </row>
    <row r="108" ht="15" customHeight="1" spans="13:15">
      <c r="M108" s="1" t="s">
        <v>180</v>
      </c>
      <c r="N108" s="49">
        <f>SUMIFS(T_Sales[Revenue],T_Sales[CustomerName],$M108)</f>
        <v>12200.4</v>
      </c>
      <c r="O108" s="1">
        <f>COUNTIFS(T_Sales[CustomerName],$M108)</f>
        <v>1</v>
      </c>
    </row>
    <row r="109" ht="15" customHeight="1" spans="13:15">
      <c r="M109" s="1" t="s">
        <v>186</v>
      </c>
      <c r="N109" s="49">
        <f>SUMIFS(T_Sales[Revenue],T_Sales[CustomerName],$M109)</f>
        <v>32240.04</v>
      </c>
      <c r="O109" s="1">
        <f>COUNTIFS(T_Sales[CustomerName],$M109)</f>
        <v>2</v>
      </c>
    </row>
    <row r="110" ht="15" customHeight="1" spans="13:15">
      <c r="M110" s="1" t="s">
        <v>447</v>
      </c>
      <c r="N110" s="49">
        <f>SUMIFS(T_Sales[Revenue],T_Sales[CustomerName],$M110)</f>
        <v>22934.88</v>
      </c>
      <c r="O110" s="1">
        <f>COUNTIFS(T_Sales[CustomerName],$M110)</f>
        <v>1</v>
      </c>
    </row>
    <row r="111" ht="15" customHeight="1" spans="13:15">
      <c r="M111" s="1" t="s">
        <v>220</v>
      </c>
      <c r="N111" s="49">
        <f>SUMIFS(T_Sales[Revenue],T_Sales[CustomerName],$M111)</f>
        <v>64432.91</v>
      </c>
      <c r="O111" s="1">
        <f>COUNTIFS(T_Sales[CustomerName],$M111)</f>
        <v>3</v>
      </c>
    </row>
    <row r="112" ht="15" customHeight="1" spans="13:15">
      <c r="M112" s="1" t="s">
        <v>192</v>
      </c>
      <c r="N112" s="49">
        <f>SUMIFS(T_Sales[Revenue],T_Sales[CustomerName],$M112)</f>
        <v>4872.79</v>
      </c>
      <c r="O112" s="1">
        <f>COUNTIFS(T_Sales[CustomerName],$M112)</f>
        <v>1</v>
      </c>
    </row>
    <row r="113" ht="15" customHeight="1" spans="13:15">
      <c r="M113" s="1" t="s">
        <v>29</v>
      </c>
      <c r="N113" s="49">
        <f>SUMIFS(T_Sales[Revenue],T_Sales[CustomerName],$M113)</f>
        <v>10223.46</v>
      </c>
      <c r="O113" s="1">
        <f>COUNTIFS(T_Sales[CustomerName],$M113)</f>
        <v>1</v>
      </c>
    </row>
    <row r="114" ht="15" customHeight="1" spans="13:15">
      <c r="M114" s="1" t="s">
        <v>208</v>
      </c>
      <c r="N114" s="49">
        <f>SUMIFS(T_Sales[Revenue],T_Sales[CustomerName],$M114)</f>
        <v>25021.89</v>
      </c>
      <c r="O114" s="1">
        <f>COUNTIFS(T_Sales[CustomerName],$M114)</f>
        <v>2</v>
      </c>
    </row>
    <row r="115" ht="15" customHeight="1" spans="13:15">
      <c r="M115" s="1" t="s">
        <v>275</v>
      </c>
      <c r="N115" s="49">
        <f>SUMIFS(T_Sales[Revenue],T_Sales[CustomerName],$M115)</f>
        <v>37184.07</v>
      </c>
      <c r="O115" s="1">
        <f>COUNTIFS(T_Sales[CustomerName],$M115)</f>
        <v>2</v>
      </c>
    </row>
    <row r="116" ht="15" customHeight="1" spans="13:15">
      <c r="M116" s="1" t="s">
        <v>93</v>
      </c>
      <c r="N116" s="49">
        <f>SUMIFS(T_Sales[Revenue],T_Sales[CustomerName],$M116)</f>
        <v>8961.3</v>
      </c>
      <c r="O116" s="1">
        <f>COUNTIFS(T_Sales[CustomerName],$M116)</f>
        <v>1</v>
      </c>
    </row>
    <row r="117" ht="15" customHeight="1" spans="13:15">
      <c r="M117" s="1" t="s">
        <v>238</v>
      </c>
      <c r="N117" s="49">
        <f>SUMIFS(T_Sales[Revenue],T_Sales[CustomerName],$M117)</f>
        <v>21336.32</v>
      </c>
      <c r="O117" s="1">
        <f>COUNTIFS(T_Sales[CustomerName],$M117)</f>
        <v>1</v>
      </c>
    </row>
    <row r="118" ht="15" customHeight="1" spans="13:15">
      <c r="M118" s="1" t="s">
        <v>355</v>
      </c>
      <c r="N118" s="49">
        <f>SUMIFS(T_Sales[Revenue],T_Sales[CustomerName],$M118)</f>
        <v>21158.14</v>
      </c>
      <c r="O118" s="1">
        <f>COUNTIFS(T_Sales[CustomerName],$M118)</f>
        <v>2</v>
      </c>
    </row>
    <row r="119" ht="15" customHeight="1" spans="13:15">
      <c r="M119" s="1" t="s">
        <v>396</v>
      </c>
      <c r="N119" s="49">
        <f>SUMIFS(T_Sales[Revenue],T_Sales[CustomerName],$M119)</f>
        <v>2942.87</v>
      </c>
      <c r="O119" s="1">
        <f>COUNTIFS(T_Sales[CustomerName],$M119)</f>
        <v>1</v>
      </c>
    </row>
    <row r="120" ht="15" customHeight="1" spans="13:15">
      <c r="M120" s="1" t="s">
        <v>523</v>
      </c>
      <c r="N120" s="49">
        <f>SUMIFS(T_Sales[Revenue],T_Sales[CustomerName],$M120)</f>
        <v>8110.42</v>
      </c>
      <c r="O120" s="1">
        <f>COUNTIFS(T_Sales[CustomerName],$M120)</f>
        <v>1</v>
      </c>
    </row>
    <row r="121" ht="15" customHeight="1" spans="13:15">
      <c r="M121" s="1" t="s">
        <v>161</v>
      </c>
      <c r="N121" s="49">
        <f>SUMIFS(T_Sales[Revenue],T_Sales[CustomerName],$M121)</f>
        <v>7771.44</v>
      </c>
      <c r="O121" s="1">
        <f>COUNTIFS(T_Sales[CustomerName],$M121)</f>
        <v>1</v>
      </c>
    </row>
    <row r="122" ht="15" customHeight="1" spans="13:15">
      <c r="M122" s="1" t="s">
        <v>402</v>
      </c>
      <c r="N122" s="49">
        <f>SUMIFS(T_Sales[Revenue],T_Sales[CustomerName],$M122)</f>
        <v>4294.65</v>
      </c>
      <c r="O122" s="1">
        <f>COUNTIFS(T_Sales[CustomerName],$M122)</f>
        <v>1</v>
      </c>
    </row>
    <row r="123" ht="15" customHeight="1" spans="13:15">
      <c r="M123" s="1" t="s">
        <v>552</v>
      </c>
      <c r="N123" s="49">
        <f>SUMIFS(T_Sales[Revenue],T_Sales[CustomerName],$M123)</f>
        <v>8877.99</v>
      </c>
      <c r="O123" s="1">
        <f>COUNTIFS(T_Sales[CustomerName],$M123)</f>
        <v>1</v>
      </c>
    </row>
    <row r="124" ht="15" customHeight="1" spans="13:15">
      <c r="M124" s="1" t="s">
        <v>292</v>
      </c>
      <c r="N124" s="49">
        <f>SUMIFS(T_Sales[Revenue],T_Sales[CustomerName],$M124)</f>
        <v>19259.44</v>
      </c>
      <c r="O124" s="1">
        <f>COUNTIFS(T_Sales[CustomerName],$M124)</f>
        <v>1</v>
      </c>
    </row>
    <row r="125" ht="15" customHeight="1" spans="13:15">
      <c r="M125" s="1" t="s">
        <v>436</v>
      </c>
      <c r="N125" s="49">
        <f>SUMIFS(T_Sales[Revenue],T_Sales[CustomerName],$M125)</f>
        <v>16806.13</v>
      </c>
      <c r="O125" s="1">
        <f>COUNTIFS(T_Sales[CustomerName],$M125)</f>
        <v>2</v>
      </c>
    </row>
    <row r="126" ht="15" customHeight="1" spans="13:15">
      <c r="M126" s="1" t="s">
        <v>640</v>
      </c>
      <c r="N126" s="49">
        <f>SUMIFS(T_Sales[Revenue],T_Sales[CustomerName],$M126)</f>
        <v>3999.22</v>
      </c>
      <c r="O126" s="1">
        <f>COUNTIFS(T_Sales[CustomerName],$M126)</f>
        <v>1</v>
      </c>
    </row>
    <row r="127" ht="15" customHeight="1" spans="13:15">
      <c r="M127" s="1" t="s">
        <v>109</v>
      </c>
      <c r="N127" s="49">
        <f>SUMIFS(T_Sales[Revenue],T_Sales[CustomerName],$M127)</f>
        <v>54014.4</v>
      </c>
      <c r="O127" s="1">
        <f>COUNTIFS(T_Sales[CustomerName],$M127)</f>
        <v>1</v>
      </c>
    </row>
    <row r="128" ht="15" customHeight="1" spans="13:15">
      <c r="M128" s="1" t="s">
        <v>678</v>
      </c>
      <c r="N128" s="49">
        <f>SUMIFS(T_Sales[Revenue],T_Sales[CustomerName],$M128)</f>
        <v>12896.82</v>
      </c>
      <c r="O128" s="1">
        <f>COUNTIFS(T_Sales[CustomerName],$M128)</f>
        <v>1</v>
      </c>
    </row>
    <row r="129" ht="15" customHeight="1" spans="13:15">
      <c r="M129" s="1" t="s">
        <v>264</v>
      </c>
      <c r="N129" s="49">
        <f>SUMIFS(T_Sales[Revenue],T_Sales[CustomerName],$M129)</f>
        <v>8042.34</v>
      </c>
      <c r="O129" s="1">
        <f>COUNTIFS(T_Sales[CustomerName],$M129)</f>
        <v>1</v>
      </c>
    </row>
    <row r="130" ht="15" customHeight="1" spans="13:15">
      <c r="M130" s="1" t="s">
        <v>577</v>
      </c>
      <c r="N130" s="49">
        <f>SUMIFS(T_Sales[Revenue],T_Sales[CustomerName],$M130)</f>
        <v>8570.4</v>
      </c>
      <c r="O130" s="1">
        <f>COUNTIFS(T_Sales[CustomerName],$M130)</f>
        <v>1</v>
      </c>
    </row>
    <row r="131" ht="15" customHeight="1" spans="13:15">
      <c r="M131" s="1" t="s">
        <v>22</v>
      </c>
      <c r="N131" s="49">
        <f>SUMIFS(T_Sales[Revenue],T_Sales[CustomerName],$M131)</f>
        <v>27423.48</v>
      </c>
      <c r="O131" s="1">
        <f>COUNTIFS(T_Sales[CustomerName],$M131)</f>
        <v>1</v>
      </c>
    </row>
    <row r="132" ht="15" customHeight="1" spans="13:15">
      <c r="M132" s="1" t="s">
        <v>217</v>
      </c>
      <c r="N132" s="49">
        <f>SUMIFS(T_Sales[Revenue],T_Sales[CustomerName],$M132)</f>
        <v>10495.06</v>
      </c>
      <c r="O132" s="1">
        <f>COUNTIFS(T_Sales[CustomerName],$M132)</f>
        <v>1</v>
      </c>
    </row>
    <row r="133" ht="15" customHeight="1" spans="13:15">
      <c r="M133" s="1" t="s">
        <v>424</v>
      </c>
      <c r="N133" s="49">
        <f>SUMIFS(T_Sales[Revenue],T_Sales[CustomerName],$M133)</f>
        <v>27180.12</v>
      </c>
      <c r="O133" s="1">
        <f>COUNTIFS(T_Sales[CustomerName],$M133)</f>
        <v>1</v>
      </c>
    </row>
    <row r="134" ht="15" customHeight="1" spans="13:15">
      <c r="M134" s="1" t="s">
        <v>225</v>
      </c>
      <c r="N134" s="49">
        <f>SUMIFS(T_Sales[Revenue],T_Sales[CustomerName],$M134)</f>
        <v>1459.57</v>
      </c>
      <c r="O134" s="1">
        <f>COUNTIFS(T_Sales[CustomerName],$M134)</f>
        <v>1</v>
      </c>
    </row>
    <row r="135" ht="15" customHeight="1" spans="13:15">
      <c r="M135" s="1" t="s">
        <v>694</v>
      </c>
      <c r="N135" s="49">
        <f>SUMIFS(T_Sales[Revenue],T_Sales[CustomerName],$M135)</f>
        <v>17829.38</v>
      </c>
      <c r="O135" s="1">
        <f>COUNTIFS(T_Sales[CustomerName],$M135)</f>
        <v>1</v>
      </c>
    </row>
    <row r="136" ht="15" customHeight="1" spans="13:15">
      <c r="M136" s="1" t="s">
        <v>317</v>
      </c>
      <c r="N136" s="49">
        <f>SUMIFS(T_Sales[Revenue],T_Sales[CustomerName],$M136)</f>
        <v>83695.16</v>
      </c>
      <c r="O136" s="1">
        <f>COUNTIFS(T_Sales[CustomerName],$M136)</f>
        <v>3</v>
      </c>
    </row>
    <row r="137" ht="15" customHeight="1" spans="13:15">
      <c r="M137" s="1" t="s">
        <v>500</v>
      </c>
      <c r="N137" s="49">
        <f>SUMIFS(T_Sales[Revenue],T_Sales[CustomerName],$M137)</f>
        <v>46071.05</v>
      </c>
      <c r="O137" s="1">
        <f>COUNTIFS(T_Sales[CustomerName],$M137)</f>
        <v>2</v>
      </c>
    </row>
    <row r="138" ht="15" customHeight="1" spans="13:15">
      <c r="M138" s="1" t="s">
        <v>430</v>
      </c>
      <c r="N138" s="49">
        <f>SUMIFS(T_Sales[Revenue],T_Sales[CustomerName],$M138)</f>
        <v>31880.56</v>
      </c>
      <c r="O138" s="1">
        <f>COUNTIFS(T_Sales[CustomerName],$M138)</f>
        <v>1</v>
      </c>
    </row>
    <row r="139" ht="15" customHeight="1" spans="13:15">
      <c r="M139" s="1" t="s">
        <v>35</v>
      </c>
      <c r="N139" s="49">
        <f>SUMIFS(T_Sales[Revenue],T_Sales[CustomerName],$M139)</f>
        <v>17395.32</v>
      </c>
      <c r="O139" s="1">
        <f>COUNTIFS(T_Sales[CustomerName],$M139)</f>
        <v>1</v>
      </c>
    </row>
    <row r="140" ht="15" customHeight="1" spans="13:15">
      <c r="M140" s="1" t="s">
        <v>199</v>
      </c>
      <c r="N140" s="49">
        <f>SUMIFS(T_Sales[Revenue],T_Sales[CustomerName],$M140)</f>
        <v>33179.47</v>
      </c>
      <c r="O140" s="1">
        <f>COUNTIFS(T_Sales[CustomerName],$M140)</f>
        <v>1</v>
      </c>
    </row>
    <row r="141" ht="15" customHeight="1" spans="13:15">
      <c r="M141" s="1" t="s">
        <v>245</v>
      </c>
      <c r="N141" s="49">
        <f>SUMIFS(T_Sales[Revenue],T_Sales[CustomerName],$M141)</f>
        <v>57724.35</v>
      </c>
      <c r="O141" s="1">
        <f>COUNTIFS(T_Sales[CustomerName],$M141)</f>
        <v>3</v>
      </c>
    </row>
    <row r="142" ht="15" customHeight="1" spans="13:15">
      <c r="M142" s="1" t="s">
        <v>84</v>
      </c>
      <c r="N142" s="49">
        <f>SUMIFS(T_Sales[Revenue],T_Sales[CustomerName],$M142)</f>
        <v>29385.78</v>
      </c>
      <c r="O142" s="1">
        <f>COUNTIFS(T_Sales[CustomerName],$M142)</f>
        <v>1</v>
      </c>
    </row>
    <row r="143" ht="15" customHeight="1" spans="13:15">
      <c r="M143" s="1" t="s">
        <v>627</v>
      </c>
      <c r="N143" s="49">
        <f>SUMIFS(T_Sales[Revenue],T_Sales[CustomerName],$M143)</f>
        <v>17279.6</v>
      </c>
      <c r="O143" s="1">
        <f>COUNTIFS(T_Sales[CustomerName],$M143)</f>
        <v>1</v>
      </c>
    </row>
    <row r="144" ht="15" customHeight="1" spans="13:15">
      <c r="M144" s="1" t="s">
        <v>232</v>
      </c>
      <c r="N144" s="49">
        <f>SUMIFS(T_Sales[Revenue],T_Sales[CustomerName],$M144)</f>
        <v>13260.04</v>
      </c>
      <c r="O144" s="1">
        <f>COUNTIFS(T_Sales[CustomerName],$M144)</f>
        <v>1</v>
      </c>
    </row>
    <row r="145" ht="15" customHeight="1" spans="13:15">
      <c r="M145" s="1" t="s">
        <v>205</v>
      </c>
      <c r="N145" s="49">
        <f>SUMIFS(T_Sales[Revenue],T_Sales[CustomerName],$M145)</f>
        <v>26006.04</v>
      </c>
      <c r="O145" s="1">
        <f>COUNTIFS(T_Sales[CustomerName],$M145)</f>
        <v>1</v>
      </c>
    </row>
    <row r="146" ht="15" customHeight="1" spans="13:15">
      <c r="M146" s="1" t="s">
        <v>455</v>
      </c>
      <c r="N146" s="49">
        <f>SUMIFS(T_Sales[Revenue],T_Sales[CustomerName],$M146)</f>
        <v>16929.52</v>
      </c>
      <c r="O146" s="1">
        <f>COUNTIFS(T_Sales[CustomerName],$M146)</f>
        <v>1</v>
      </c>
    </row>
    <row r="147" ht="15" customHeight="1" spans="13:15">
      <c r="M147" s="1" t="s">
        <v>495</v>
      </c>
      <c r="N147" s="49">
        <f>SUMIFS(T_Sales[Revenue],T_Sales[CustomerName],$M147)</f>
        <v>20915.1</v>
      </c>
      <c r="O147" s="1">
        <f>COUNTIFS(T_Sales[CustomerName],$M147)</f>
        <v>1</v>
      </c>
    </row>
    <row r="148" ht="15" customHeight="1" spans="13:15">
      <c r="M148" s="1" t="s">
        <v>130</v>
      </c>
      <c r="N148" s="49">
        <f>SUMIFS(T_Sales[Revenue],T_Sales[CustomerName],$M148)</f>
        <v>39230.53</v>
      </c>
      <c r="O148" s="1">
        <f>COUNTIFS(T_Sales[CustomerName],$M148)</f>
        <v>1</v>
      </c>
    </row>
    <row r="149" ht="15" customHeight="1" spans="13:15">
      <c r="M149" s="1" t="s">
        <v>610</v>
      </c>
      <c r="N149" s="49">
        <f>SUMIFS(T_Sales[Revenue],T_Sales[CustomerName],$M149)</f>
        <v>3464.32</v>
      </c>
      <c r="O149" s="1">
        <f>COUNTIFS(T_Sales[CustomerName],$M149)</f>
        <v>1</v>
      </c>
    </row>
    <row r="150" ht="15" customHeight="1" spans="13:15">
      <c r="M150" s="1" t="s">
        <v>76</v>
      </c>
      <c r="N150" s="49">
        <f>SUMIFS(T_Sales[Revenue],T_Sales[CustomerName],$M150)</f>
        <v>17167.04</v>
      </c>
      <c r="O150" s="1">
        <f>COUNTIFS(T_Sales[CustomerName],$M150)</f>
        <v>1</v>
      </c>
    </row>
    <row r="151" ht="15" customHeight="1" spans="13:15">
      <c r="M151" s="1" t="s">
        <v>478</v>
      </c>
      <c r="N151" s="49">
        <f>SUMIFS(T_Sales[Revenue],T_Sales[CustomerName],$M151)</f>
        <v>65044.14</v>
      </c>
      <c r="O151" s="1">
        <f>COUNTIFS(T_Sales[CustomerName],$M151)</f>
        <v>2</v>
      </c>
    </row>
    <row r="152" ht="15" customHeight="1" spans="13:15">
      <c r="M152" s="1" t="s">
        <v>360</v>
      </c>
      <c r="N152" s="49">
        <f>SUMIFS(T_Sales[Revenue],T_Sales[CustomerName],$M152)</f>
        <v>6328.48</v>
      </c>
      <c r="O152" s="1">
        <f>COUNTIFS(T_Sales[CustomerName],$M152)</f>
        <v>1</v>
      </c>
    </row>
    <row r="153" ht="15" customHeight="1" spans="13:15">
      <c r="M153" s="1" t="s">
        <v>439</v>
      </c>
      <c r="N153" s="49">
        <f>SUMIFS(T_Sales[Revenue],T_Sales[CustomerName],$M153)</f>
        <v>10214.05</v>
      </c>
      <c r="O153" s="1">
        <f>COUNTIFS(T_Sales[CustomerName],$M153)</f>
        <v>1</v>
      </c>
    </row>
    <row r="154" ht="15" customHeight="1" spans="13:15">
      <c r="M154" s="1" t="s">
        <v>718</v>
      </c>
      <c r="N154" s="49">
        <f>SUMIFS(T_Sales[Revenue],T_Sales[CustomerName],$M154)</f>
        <v>11724.06</v>
      </c>
      <c r="O154" s="1">
        <f>COUNTIFS(T_Sales[CustomerName],$M154)</f>
        <v>1</v>
      </c>
    </row>
    <row r="155" ht="15" customHeight="1" spans="13:15">
      <c r="M155" s="1" t="s">
        <v>149</v>
      </c>
      <c r="N155" s="49">
        <f>SUMIFS(T_Sales[Revenue],T_Sales[CustomerName],$M155)</f>
        <v>8024.08</v>
      </c>
      <c r="O155" s="1">
        <f>COUNTIFS(T_Sales[CustomerName],$M155)</f>
        <v>1</v>
      </c>
    </row>
    <row r="156" ht="15" customHeight="1" spans="13:15">
      <c r="M156" s="1" t="s">
        <v>643</v>
      </c>
      <c r="N156" s="49">
        <f>SUMIFS(T_Sales[Revenue],T_Sales[CustomerName],$M156)</f>
        <v>35749.68</v>
      </c>
      <c r="O156" s="1">
        <f>COUNTIFS(T_Sales[CustomerName],$M156)</f>
        <v>1</v>
      </c>
    </row>
    <row r="157" ht="15" customHeight="1" spans="13:15">
      <c r="M157" s="1" t="s">
        <v>259</v>
      </c>
      <c r="N157" s="49">
        <f>SUMIFS(T_Sales[Revenue],T_Sales[CustomerName],$M157)</f>
        <v>7825.02</v>
      </c>
      <c r="O157" s="1">
        <f>COUNTIFS(T_Sales[CustomerName],$M157)</f>
        <v>1</v>
      </c>
    </row>
    <row r="158" ht="15" customHeight="1" spans="13:15">
      <c r="M158" s="1" t="s">
        <v>588</v>
      </c>
      <c r="N158" s="49">
        <f>SUMIFS(T_Sales[Revenue],T_Sales[CustomerName],$M158)</f>
        <v>14365.75</v>
      </c>
      <c r="O158" s="1">
        <f>COUNTIFS(T_Sales[CustomerName],$M158)</f>
        <v>1</v>
      </c>
    </row>
    <row r="159" ht="15" customHeight="1" spans="13:15">
      <c r="M159" s="1" t="s">
        <v>196</v>
      </c>
      <c r="N159" s="49">
        <f>SUMIFS(T_Sales[Revenue],T_Sales[CustomerName],$M159)</f>
        <v>62387.66</v>
      </c>
      <c r="O159" s="1">
        <f>COUNTIFS(T_Sales[CustomerName],$M159)</f>
        <v>2</v>
      </c>
    </row>
    <row r="160" ht="15" customHeight="1" spans="13:15">
      <c r="M160" s="1" t="s">
        <v>167</v>
      </c>
      <c r="N160" s="49">
        <f>SUMIFS(T_Sales[Revenue],T_Sales[CustomerName],$M160)</f>
        <v>24717.41</v>
      </c>
      <c r="O160" s="1">
        <f>COUNTIFS(T_Sales[CustomerName],$M160)</f>
        <v>1</v>
      </c>
    </row>
    <row r="161" ht="15" customHeight="1" spans="13:15">
      <c r="M161" s="1" t="s">
        <v>119</v>
      </c>
      <c r="N161" s="49">
        <f>SUMIFS(T_Sales[Revenue],T_Sales[CustomerName],$M161)</f>
        <v>20373.81</v>
      </c>
      <c r="O161" s="1">
        <f>COUNTIFS(T_Sales[CustomerName],$M161)</f>
        <v>1</v>
      </c>
    </row>
    <row r="162" ht="15" customHeight="1" spans="13:15">
      <c r="M162" s="1" t="s">
        <v>177</v>
      </c>
      <c r="N162" s="49">
        <f>SUMIFS(T_Sales[Revenue],T_Sales[CustomerName],$M162)</f>
        <v>8246.08</v>
      </c>
      <c r="O162" s="1">
        <f>COUNTIFS(T_Sales[CustomerName],$M162)</f>
        <v>1</v>
      </c>
    </row>
    <row r="163" ht="15" customHeight="1" spans="13:15">
      <c r="M163" s="1" t="s">
        <v>555</v>
      </c>
      <c r="N163" s="49">
        <f>SUMIFS(T_Sales[Revenue],T_Sales[CustomerName],$M163)</f>
        <v>37901.96</v>
      </c>
      <c r="O163" s="1">
        <f>COUNTIFS(T_Sales[CustomerName],$M163)</f>
        <v>1</v>
      </c>
    </row>
    <row r="164" ht="15" customHeight="1" spans="13:15">
      <c r="M164" s="1" t="s">
        <v>289</v>
      </c>
      <c r="N164" s="49">
        <f>SUMIFS(T_Sales[Revenue],T_Sales[CustomerName],$M164)</f>
        <v>33871.38</v>
      </c>
      <c r="O164" s="1">
        <f>COUNTIFS(T_Sales[CustomerName],$M164)</f>
        <v>1</v>
      </c>
    </row>
    <row r="165" ht="15" customHeight="1" spans="13:15">
      <c r="M165" s="1" t="s">
        <v>254</v>
      </c>
      <c r="N165" s="49">
        <f>SUMIFS(T_Sales[Revenue],T_Sales[CustomerName],$M165)</f>
        <v>48178.45</v>
      </c>
      <c r="O165" s="1">
        <f>COUNTIFS(T_Sales[CustomerName],$M165)</f>
        <v>1</v>
      </c>
    </row>
    <row r="166" ht="15" customHeight="1" spans="13:15">
      <c r="M166" s="1" t="s">
        <v>242</v>
      </c>
      <c r="N166" s="49">
        <f>SUMIFS(T_Sales[Revenue],T_Sales[CustomerName],$M166)</f>
        <v>13741.48</v>
      </c>
      <c r="O166" s="1">
        <f>COUNTIFS(T_Sales[CustomerName],$M166)</f>
        <v>1</v>
      </c>
    </row>
    <row r="167" ht="15" customHeight="1" spans="13:15">
      <c r="M167" s="1" t="s">
        <v>540</v>
      </c>
      <c r="N167" s="49">
        <f>SUMIFS(T_Sales[Revenue],T_Sales[CustomerName],$M167)</f>
        <v>54645.43</v>
      </c>
      <c r="O167" s="1">
        <f>COUNTIFS(T_Sales[CustomerName],$M167)</f>
        <v>2</v>
      </c>
    </row>
    <row r="168" ht="15" customHeight="1" spans="13:15">
      <c r="M168" s="1" t="s">
        <v>261</v>
      </c>
      <c r="N168" s="49">
        <f>SUMIFS(T_Sales[Revenue],T_Sales[CustomerName],$M168)</f>
        <v>21997.9</v>
      </c>
      <c r="O168" s="1">
        <f>COUNTIFS(T_Sales[CustomerName],$M168)</f>
        <v>1</v>
      </c>
    </row>
    <row r="169" ht="15" customHeight="1" spans="13:15">
      <c r="M169" s="1" t="s">
        <v>173</v>
      </c>
      <c r="N169" s="49">
        <f>SUMIFS(T_Sales[Revenue],T_Sales[CustomerName],$M169)</f>
        <v>30693.51</v>
      </c>
      <c r="O169" s="1">
        <f>COUNTIFS(T_Sales[CustomerName],$M169)</f>
        <v>2</v>
      </c>
    </row>
    <row r="170" ht="15" customHeight="1" spans="13:15">
      <c r="M170" s="1" t="s">
        <v>345</v>
      </c>
      <c r="N170" s="49">
        <f>SUMIFS(T_Sales[Revenue],T_Sales[CustomerName],$M170)</f>
        <v>42018.77</v>
      </c>
      <c r="O170" s="1">
        <f>COUNTIFS(T_Sales[CustomerName],$M170)</f>
        <v>2</v>
      </c>
    </row>
    <row r="171" ht="15" customHeight="1" spans="13:15">
      <c r="M171" s="1" t="s">
        <v>409</v>
      </c>
      <c r="N171" s="49">
        <f>SUMIFS(T_Sales[Revenue],T_Sales[CustomerName],$M171)</f>
        <v>22909.64</v>
      </c>
      <c r="O171" s="1">
        <f>COUNTIFS(T_Sales[CustomerName],$M171)</f>
        <v>1</v>
      </c>
    </row>
    <row r="172" ht="15" customHeight="1" spans="13:15">
      <c r="M172" s="1" t="s">
        <v>655</v>
      </c>
      <c r="N172" s="49">
        <f>SUMIFS(T_Sales[Revenue],T_Sales[CustomerName],$M172)</f>
        <v>30156.12</v>
      </c>
      <c r="O172" s="1">
        <f>COUNTIFS(T_Sales[CustomerName],$M172)</f>
        <v>1</v>
      </c>
    </row>
    <row r="173" ht="15" customHeight="1" spans="13:15">
      <c r="M173" s="1" t="s">
        <v>594</v>
      </c>
      <c r="N173" s="49">
        <f>SUMIFS(T_Sales[Revenue],T_Sales[CustomerName],$M173)</f>
        <v>2121.39</v>
      </c>
      <c r="O173" s="1">
        <f>COUNTIFS(T_Sales[CustomerName],$M173)</f>
        <v>1</v>
      </c>
    </row>
    <row r="174" ht="15" customHeight="1" spans="13:15">
      <c r="M174" s="1" t="s">
        <v>281</v>
      </c>
      <c r="N174" s="49">
        <f>SUMIFS(T_Sales[Revenue],T_Sales[CustomerName],$M174)</f>
        <v>19995.56</v>
      </c>
      <c r="O174" s="1">
        <f>COUNTIFS(T_Sales[CustomerName],$M174)</f>
        <v>1</v>
      </c>
    </row>
    <row r="175" ht="15" customHeight="1" spans="13:15">
      <c r="M175" s="1" t="s">
        <v>320</v>
      </c>
      <c r="N175" s="49">
        <f>SUMIFS(T_Sales[Revenue],T_Sales[CustomerName],$M175)</f>
        <v>43607.4</v>
      </c>
      <c r="O175" s="1">
        <f>COUNTIFS(T_Sales[CustomerName],$M175)</f>
        <v>1</v>
      </c>
    </row>
    <row r="176" ht="15" customHeight="1" spans="13:15">
      <c r="M176" s="1" t="s">
        <v>202</v>
      </c>
      <c r="N176" s="49">
        <f>SUMIFS(T_Sales[Revenue],T_Sales[CustomerName],$M176)</f>
        <v>53997.35</v>
      </c>
      <c r="O176" s="1">
        <f>COUNTIFS(T_Sales[CustomerName],$M176)</f>
        <v>1</v>
      </c>
    </row>
    <row r="177" ht="15" customHeight="1" spans="13:15">
      <c r="M177" s="1" t="s">
        <v>370</v>
      </c>
      <c r="N177" s="49">
        <f>SUMIFS(T_Sales[Revenue],T_Sales[CustomerName],$M177)</f>
        <v>13967.06</v>
      </c>
      <c r="O177" s="1">
        <f>COUNTIFS(T_Sales[CustomerName],$M177)</f>
        <v>1</v>
      </c>
    </row>
    <row r="178" ht="15" customHeight="1" spans="13:15">
      <c r="M178" s="1" t="s">
        <v>704</v>
      </c>
      <c r="N178" s="49">
        <f>SUMIFS(T_Sales[Revenue],T_Sales[CustomerName],$M178)</f>
        <v>34565.96</v>
      </c>
      <c r="O178" s="1">
        <f>COUNTIFS(T_Sales[CustomerName],$M178)</f>
        <v>1</v>
      </c>
    </row>
    <row r="179" ht="15" customHeight="1" spans="13:15">
      <c r="M179" s="1" t="s">
        <v>416</v>
      </c>
      <c r="N179" s="49">
        <f>SUMIFS(T_Sales[Revenue],T_Sales[CustomerName],$M179)</f>
        <v>24954.87</v>
      </c>
      <c r="O179" s="1">
        <f>COUNTIFS(T_Sales[CustomerName],$M179)</f>
        <v>1</v>
      </c>
    </row>
    <row r="180" ht="15" customHeight="1" spans="13:15">
      <c r="M180" s="1" t="s">
        <v>223</v>
      </c>
      <c r="N180" s="49">
        <f>SUMIFS(T_Sales[Revenue],T_Sales[CustomerName],$M180)</f>
        <v>1541.96</v>
      </c>
      <c r="O180" s="1">
        <f>COUNTIFS(T_Sales[CustomerName],$M180)</f>
        <v>1</v>
      </c>
    </row>
    <row r="181" ht="15" customHeight="1" spans="13:15">
      <c r="M181" s="1" t="s">
        <v>323</v>
      </c>
      <c r="N181" s="49">
        <f>SUMIFS(T_Sales[Revenue],T_Sales[CustomerName],$M181)</f>
        <v>47923.34</v>
      </c>
      <c r="O181" s="1">
        <f>COUNTIFS(T_Sales[CustomerName],$M181)</f>
        <v>2</v>
      </c>
    </row>
    <row r="182" ht="15" customHeight="1" spans="13:15">
      <c r="M182" s="1" t="s">
        <v>534</v>
      </c>
      <c r="N182" s="49">
        <f>SUMIFS(T_Sales[Revenue],T_Sales[CustomerName],$M182)</f>
        <v>16319.3</v>
      </c>
      <c r="O182" s="1">
        <f>COUNTIFS(T_Sales[CustomerName],$M182)</f>
        <v>1</v>
      </c>
    </row>
    <row r="183" ht="15" customHeight="1" spans="13:15">
      <c r="M183" s="1" t="s">
        <v>449</v>
      </c>
      <c r="N183" s="49">
        <f>SUMIFS(T_Sales[Revenue],T_Sales[CustomerName],$M183)</f>
        <v>16438.62</v>
      </c>
      <c r="O183" s="1">
        <f>COUNTIFS(T_Sales[CustomerName],$M183)</f>
        <v>2</v>
      </c>
    </row>
    <row r="184" ht="15" customHeight="1" spans="13:15">
      <c r="M184" s="1" t="s">
        <v>267</v>
      </c>
      <c r="N184" s="49">
        <f>SUMIFS(T_Sales[Revenue],T_Sales[CustomerName],$M184)</f>
        <v>25343.96</v>
      </c>
      <c r="O184" s="1">
        <f>COUNTIFS(T_Sales[CustomerName],$M184)</f>
        <v>2</v>
      </c>
    </row>
    <row r="185" ht="15" customHeight="1" spans="13:15">
      <c r="M185" s="1" t="s">
        <v>559</v>
      </c>
      <c r="N185" s="49">
        <f>SUMIFS(T_Sales[Revenue],T_Sales[CustomerName],$M185)</f>
        <v>15969.88</v>
      </c>
      <c r="O185" s="1">
        <f>COUNTIFS(T_Sales[CustomerName],$M185)</f>
        <v>1</v>
      </c>
    </row>
    <row r="186" ht="15" customHeight="1" spans="13:15">
      <c r="M186" s="1" t="s">
        <v>329</v>
      </c>
      <c r="N186" s="49">
        <f>SUMIFS(T_Sales[Revenue],T_Sales[CustomerName],$M186)</f>
        <v>21239.5</v>
      </c>
      <c r="O186" s="1">
        <f>COUNTIFS(T_Sales[CustomerName],$M186)</f>
        <v>3</v>
      </c>
    </row>
    <row r="188" ht="17.25" customHeight="1" spans="2:2">
      <c r="B188" s="47" t="s">
        <v>737</v>
      </c>
    </row>
    <row r="189" ht="15" customHeight="1" spans="2:7">
      <c r="B189" s="28" t="s">
        <v>5</v>
      </c>
      <c r="C189" s="28" t="s">
        <v>30</v>
      </c>
      <c r="D189" s="28" t="s">
        <v>80</v>
      </c>
      <c r="E189" s="28" t="s">
        <v>54</v>
      </c>
      <c r="F189" s="28" t="s">
        <v>41</v>
      </c>
      <c r="G189" s="28" t="s">
        <v>48</v>
      </c>
    </row>
    <row r="190" ht="15" customHeight="1" spans="2:7">
      <c r="B190" s="1" t="s">
        <v>24</v>
      </c>
      <c r="C190" s="49">
        <f>SUMIFS(T_Sales[Revenue],T_Sales[Category],$B190,T_Sales[Region],C$189)</f>
        <v>149004.14</v>
      </c>
      <c r="D190" s="49">
        <f>SUMIFS(T_Sales[Revenue],T_Sales[Category],$B190,T_Sales[Region],D$189)</f>
        <v>201834.71</v>
      </c>
      <c r="E190" s="49">
        <f>SUMIFS(T_Sales[Revenue],T_Sales[Category],$B190,T_Sales[Region],E$189)</f>
        <v>140415.7</v>
      </c>
      <c r="F190" s="49">
        <f>SUMIFS(T_Sales[Revenue],T_Sales[Category],$B190,T_Sales[Region],F$189)</f>
        <v>128327.68</v>
      </c>
      <c r="G190" s="49">
        <f>SUMIFS(T_Sales[Revenue],T_Sales[Category],$B190,T_Sales[Region],G$189)</f>
        <v>98533.31</v>
      </c>
    </row>
    <row r="191" ht="15" customHeight="1" spans="2:7">
      <c r="B191" s="1" t="s">
        <v>61</v>
      </c>
      <c r="C191" s="49">
        <f>SUMIFS(T_Sales[Revenue],T_Sales[Category],$B191,T_Sales[Region],C$189)</f>
        <v>182157.01</v>
      </c>
      <c r="D191" s="49">
        <f>SUMIFS(T_Sales[Revenue],T_Sales[Category],$B191,T_Sales[Region],D$189)</f>
        <v>163012.05</v>
      </c>
      <c r="E191" s="49">
        <f>SUMIFS(T_Sales[Revenue],T_Sales[Category],$B191,T_Sales[Region],E$189)</f>
        <v>177996.77</v>
      </c>
      <c r="F191" s="49">
        <f>SUMIFS(T_Sales[Revenue],T_Sales[Category],$B191,T_Sales[Region],F$189)</f>
        <v>139267.89</v>
      </c>
      <c r="G191" s="49">
        <f>SUMIFS(T_Sales[Revenue],T_Sales[Category],$B191,T_Sales[Region],G$189)</f>
        <v>189291.99</v>
      </c>
    </row>
    <row r="192" ht="15" customHeight="1" spans="2:7">
      <c r="B192" s="1" t="s">
        <v>42</v>
      </c>
      <c r="C192" s="49">
        <f>SUMIFS(T_Sales[Revenue],T_Sales[Category],$B192,T_Sales[Region],C$189)</f>
        <v>63290.36</v>
      </c>
      <c r="D192" s="49">
        <f>SUMIFS(T_Sales[Revenue],T_Sales[Category],$B192,T_Sales[Region],D$189)</f>
        <v>165928.49</v>
      </c>
      <c r="E192" s="49">
        <f>SUMIFS(T_Sales[Revenue],T_Sales[Category],$B192,T_Sales[Region],E$189)</f>
        <v>193285.34</v>
      </c>
      <c r="F192" s="49">
        <f>SUMIFS(T_Sales[Revenue],T_Sales[Category],$B192,T_Sales[Region],F$189)</f>
        <v>276015.83</v>
      </c>
      <c r="G192" s="49">
        <f>SUMIFS(T_Sales[Revenue],T_Sales[Category],$B192,T_Sales[Region],G$189)</f>
        <v>236683.85</v>
      </c>
    </row>
    <row r="193" ht="15" customHeight="1" spans="2:7">
      <c r="B193" s="1" t="s">
        <v>55</v>
      </c>
      <c r="C193" s="49">
        <f>SUMIFS(T_Sales[Revenue],T_Sales[Category],$B193,T_Sales[Region],C$189)</f>
        <v>72763.92</v>
      </c>
      <c r="D193" s="49">
        <f>SUMIFS(T_Sales[Revenue],T_Sales[Category],$B193,T_Sales[Region],D$189)</f>
        <v>234876.71</v>
      </c>
      <c r="E193" s="49">
        <f>SUMIFS(T_Sales[Revenue],T_Sales[Category],$B193,T_Sales[Region],E$189)</f>
        <v>144119.68</v>
      </c>
      <c r="F193" s="49">
        <f>SUMIFS(T_Sales[Revenue],T_Sales[Category],$B193,T_Sales[Region],F$189)</f>
        <v>47730.71</v>
      </c>
      <c r="G193" s="49">
        <f>SUMIFS(T_Sales[Revenue],T_Sales[Category],$B193,T_Sales[Region],G$189)</f>
        <v>81522.12</v>
      </c>
    </row>
    <row r="194" ht="15" customHeight="1" spans="2:7">
      <c r="B194" s="1" t="s">
        <v>16</v>
      </c>
      <c r="C194" s="49">
        <f>SUMIFS(T_Sales[Revenue],T_Sales[Category],$B194,T_Sales[Region],C$189)</f>
        <v>141692.39</v>
      </c>
      <c r="D194" s="49">
        <f>SUMIFS(T_Sales[Revenue],T_Sales[Category],$B194,T_Sales[Region],D$189)</f>
        <v>179042.58</v>
      </c>
      <c r="E194" s="49">
        <f>SUMIFS(T_Sales[Revenue],T_Sales[Category],$B194,T_Sales[Region],E$189)</f>
        <v>111524.29</v>
      </c>
      <c r="F194" s="49">
        <f>SUMIFS(T_Sales[Revenue],T_Sales[Category],$B194,T_Sales[Region],F$189)</f>
        <v>199385.78</v>
      </c>
      <c r="G194" s="49">
        <f>SUMIFS(T_Sales[Revenue],T_Sales[Category],$B194,T_Sales[Region],G$189)</f>
        <v>165755.39</v>
      </c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5C8A"/>
    <pageSetUpPr fitToPage="1"/>
  </sheetPr>
  <dimension ref="A1:V89"/>
  <sheetViews>
    <sheetView showGridLines="0" zoomScale="104" zoomScaleNormal="104" workbookViewId="0">
      <pane ySplit="8" topLeftCell="A9" activePane="bottomLeft" state="frozen"/>
      <selection/>
      <selection pane="bottomLeft" activeCell="C7" sqref="C7:D7"/>
    </sheetView>
  </sheetViews>
  <sheetFormatPr defaultColWidth="8.68181818181818" defaultRowHeight="14.5"/>
  <cols>
    <col min="1" max="16" width="9.6" style="1" customWidth="1"/>
  </cols>
  <sheetData>
    <row r="1" ht="6" customHeight="1" spans="1:2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42"/>
      <c r="R1" s="42"/>
      <c r="S1" s="42"/>
      <c r="T1" s="42"/>
      <c r="U1" s="42"/>
      <c r="V1" s="42"/>
    </row>
    <row r="2" ht="16.5" customHeight="1" spans="1:22">
      <c r="A2" s="6" t="s">
        <v>738</v>
      </c>
      <c r="B2" s="6"/>
      <c r="C2" s="7" t="s">
        <v>739</v>
      </c>
      <c r="D2" s="7"/>
      <c r="E2" s="7"/>
      <c r="F2" s="7"/>
      <c r="G2" s="7"/>
      <c r="H2" s="7"/>
      <c r="I2" s="7"/>
      <c r="J2" s="7"/>
      <c r="K2" s="7"/>
      <c r="L2" s="7"/>
      <c r="M2" s="31" t="s">
        <v>740</v>
      </c>
      <c r="N2" s="31"/>
      <c r="O2" s="31"/>
      <c r="P2" s="31"/>
      <c r="Q2" s="42"/>
      <c r="R2" s="42"/>
      <c r="S2" s="42"/>
      <c r="T2" s="42"/>
      <c r="U2" s="42"/>
      <c r="V2" s="42"/>
    </row>
    <row r="3" ht="16.5" customHeight="1" spans="1:22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32">
        <f ca="1">TODAY()</f>
        <v>46223</v>
      </c>
      <c r="N3" s="32"/>
      <c r="O3" s="32"/>
      <c r="P3" s="32"/>
      <c r="Q3" s="42"/>
      <c r="R3" s="42"/>
      <c r="S3" s="42"/>
      <c r="T3" s="42"/>
      <c r="U3" s="42"/>
      <c r="V3" s="42"/>
    </row>
    <row r="4" ht="16.5" customHeight="1" spans="1:22">
      <c r="A4" s="6"/>
      <c r="B4" s="6"/>
      <c r="C4" s="8" t="s">
        <v>741</v>
      </c>
      <c r="D4" s="8"/>
      <c r="E4" s="8"/>
      <c r="F4" s="8"/>
      <c r="G4" s="8"/>
      <c r="H4" s="8"/>
      <c r="I4" s="8"/>
      <c r="J4" s="8"/>
      <c r="K4" s="8"/>
      <c r="L4" s="8"/>
      <c r="M4" s="31" t="s">
        <v>742</v>
      </c>
      <c r="N4" s="31"/>
      <c r="O4" s="31"/>
      <c r="P4" s="31"/>
      <c r="Q4" s="42"/>
      <c r="R4" s="42"/>
      <c r="S4" s="42"/>
      <c r="T4" s="42"/>
      <c r="U4" s="42"/>
      <c r="V4" s="42"/>
    </row>
    <row r="5" ht="16.5" customHeight="1" spans="1:22">
      <c r="A5" s="6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33">
        <f ca="1">NOW()</f>
        <v>46223.9224074074</v>
      </c>
      <c r="N5" s="33"/>
      <c r="O5" s="33"/>
      <c r="P5" s="33"/>
      <c r="Q5" s="42"/>
      <c r="R5" s="42"/>
      <c r="S5" s="42"/>
      <c r="T5" s="42"/>
      <c r="U5" s="42"/>
      <c r="V5" s="42"/>
    </row>
    <row r="6" ht="6" customHeight="1" spans="1:22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2"/>
      <c r="R6" s="42"/>
      <c r="S6" s="42"/>
      <c r="T6" s="42"/>
      <c r="U6" s="42"/>
      <c r="V6" s="42"/>
    </row>
    <row r="7" ht="19.5" customHeight="1" spans="1:22">
      <c r="A7" s="10" t="s">
        <v>743</v>
      </c>
      <c r="B7" s="10"/>
      <c r="C7" s="11" t="s">
        <v>80</v>
      </c>
      <c r="D7" s="11"/>
      <c r="E7" s="5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42"/>
      <c r="R7" s="42"/>
      <c r="S7" s="42"/>
      <c r="T7" s="42"/>
      <c r="U7" s="42"/>
      <c r="V7" s="42"/>
    </row>
    <row r="8" ht="6" customHeight="1" spans="1:2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42"/>
      <c r="R8" s="42"/>
      <c r="S8" s="42"/>
      <c r="T8" s="42"/>
      <c r="U8" s="42"/>
      <c r="V8" s="42"/>
    </row>
    <row r="9" ht="15" customHeight="1" spans="1:22">
      <c r="A9" s="13"/>
      <c r="B9" s="14"/>
      <c r="C9" s="14"/>
      <c r="D9" s="14"/>
      <c r="E9" s="15"/>
      <c r="F9" s="14"/>
      <c r="G9" s="14"/>
      <c r="H9" s="14"/>
      <c r="I9" s="34"/>
      <c r="J9" s="14"/>
      <c r="K9" s="14"/>
      <c r="L9" s="14"/>
      <c r="M9" s="13"/>
      <c r="N9" s="14"/>
      <c r="O9" s="14"/>
      <c r="P9" s="14"/>
      <c r="Q9" s="42"/>
      <c r="R9" s="42"/>
      <c r="S9" s="42"/>
      <c r="T9" s="42"/>
      <c r="U9" s="42"/>
      <c r="V9" s="42"/>
    </row>
    <row r="10" ht="15" customHeight="1" spans="1:22">
      <c r="A10" s="16" t="s">
        <v>744</v>
      </c>
      <c r="B10" s="16"/>
      <c r="C10" s="16"/>
      <c r="D10" s="16"/>
      <c r="E10" s="17" t="s">
        <v>745</v>
      </c>
      <c r="F10" s="17"/>
      <c r="G10" s="17"/>
      <c r="H10" s="17"/>
      <c r="I10" s="35" t="s">
        <v>746</v>
      </c>
      <c r="J10" s="35"/>
      <c r="K10" s="35"/>
      <c r="L10" s="35"/>
      <c r="M10" s="16" t="s">
        <v>747</v>
      </c>
      <c r="N10" s="16"/>
      <c r="O10" s="16"/>
      <c r="P10" s="16"/>
      <c r="Q10" s="42"/>
      <c r="R10" s="42"/>
      <c r="S10" s="42"/>
      <c r="T10" s="42"/>
      <c r="U10" s="42"/>
      <c r="V10" s="42"/>
    </row>
    <row r="11" ht="15" customHeight="1" spans="1:22">
      <c r="A11" s="18">
        <f>SUMIFS(T_Sales[Revenue],T_Sales[Region],IF(Sel_Region="All","*",Sel_Region))</f>
        <v>944694.54</v>
      </c>
      <c r="B11" s="18"/>
      <c r="C11" s="18"/>
      <c r="D11" s="18"/>
      <c r="E11" s="19">
        <f>COUNTIFS(T_Sales[Region],IF(Sel_Region="All","*",Sel_Region))</f>
        <v>47</v>
      </c>
      <c r="F11" s="19"/>
      <c r="G11" s="19"/>
      <c r="H11" s="19"/>
      <c r="I11" s="36">
        <f>SUM(T_Sales[IsFirstCustomer])</f>
        <v>163</v>
      </c>
      <c r="J11" s="36"/>
      <c r="K11" s="36"/>
      <c r="L11" s="36"/>
      <c r="M11" s="18">
        <f>IFERROR(SUMIFS(T_Sales[Revenue],T_Sales[Region],IF(Sel_Region="All","*",Sel_Region))/COUNTIFS(T_Sales[Region],IF(Sel_Region="All","*",Sel_Region)),0)</f>
        <v>20099.8838297872</v>
      </c>
      <c r="N11" s="18"/>
      <c r="O11" s="18"/>
      <c r="P11" s="18"/>
      <c r="Q11" s="42"/>
      <c r="R11" s="42"/>
      <c r="S11" s="42"/>
      <c r="T11" s="42"/>
      <c r="U11" s="42"/>
      <c r="V11" s="42"/>
    </row>
    <row r="12" ht="15" customHeight="1" spans="1:22">
      <c r="A12" s="18"/>
      <c r="B12" s="18"/>
      <c r="C12" s="18"/>
      <c r="D12" s="18"/>
      <c r="E12" s="19"/>
      <c r="F12" s="19"/>
      <c r="G12" s="19"/>
      <c r="H12" s="19"/>
      <c r="I12" s="36"/>
      <c r="J12" s="36"/>
      <c r="K12" s="36"/>
      <c r="L12" s="36"/>
      <c r="M12" s="18"/>
      <c r="N12" s="18"/>
      <c r="O12" s="18"/>
      <c r="P12" s="18"/>
      <c r="Q12" s="42"/>
      <c r="R12" s="42"/>
      <c r="S12" s="42"/>
      <c r="T12" s="42"/>
      <c r="U12" s="42"/>
      <c r="V12" s="42"/>
    </row>
    <row r="13" ht="15" customHeight="1" spans="1:22">
      <c r="A13" s="20" t="str">
        <f>"Across "&amp;COUNTA(T_Sales[OrderID])&amp;" orders"</f>
        <v>Across 222 orders</v>
      </c>
      <c r="B13" s="20"/>
      <c r="C13" s="20"/>
      <c r="D13" s="20"/>
      <c r="E13" s="21" t="str">
        <f>"Avg "&amp;TEXT(SUM(T_Sales[Units])/COUNT(T_Sales[Units]),"0.0")&amp;" units/order"</f>
        <v>Avg 6.8 units/order</v>
      </c>
      <c r="F13" s="21"/>
      <c r="G13" s="21"/>
      <c r="H13" s="21"/>
      <c r="I13" s="37" t="str">
        <f>"Across all "&amp;5&amp;" regions"</f>
        <v>Across all 5 regions</v>
      </c>
      <c r="J13" s="37"/>
      <c r="K13" s="37"/>
      <c r="L13" s="37"/>
      <c r="M13" s="20" t="s">
        <v>748</v>
      </c>
      <c r="N13" s="20"/>
      <c r="O13" s="20"/>
      <c r="P13" s="20"/>
      <c r="Q13" s="42"/>
      <c r="R13" s="42"/>
      <c r="S13" s="42"/>
      <c r="T13" s="42"/>
      <c r="U13" s="42"/>
      <c r="V13" s="42"/>
    </row>
    <row r="14" ht="6" customHeight="1" spans="1:2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2"/>
      <c r="R14" s="42"/>
      <c r="S14" s="42"/>
      <c r="T14" s="42"/>
      <c r="U14" s="42"/>
      <c r="V14" s="42"/>
    </row>
    <row r="15" ht="15" customHeight="1" spans="1:22">
      <c r="A15" s="22"/>
      <c r="B15" s="14"/>
      <c r="C15" s="14"/>
      <c r="D15" s="14"/>
      <c r="E15" s="15"/>
      <c r="F15" s="14"/>
      <c r="G15" s="14"/>
      <c r="H15" s="14"/>
      <c r="I15" s="34"/>
      <c r="J15" s="14"/>
      <c r="K15" s="14"/>
      <c r="L15" s="14"/>
      <c r="M15" s="13"/>
      <c r="N15" s="14"/>
      <c r="O15" s="14"/>
      <c r="P15" s="14"/>
      <c r="Q15" s="42"/>
      <c r="R15" s="42"/>
      <c r="S15" s="42"/>
      <c r="T15" s="42"/>
      <c r="U15" s="42"/>
      <c r="V15" s="42"/>
    </row>
    <row r="16" ht="15" customHeight="1" spans="1:22">
      <c r="A16" s="23" t="s">
        <v>749</v>
      </c>
      <c r="B16" s="23"/>
      <c r="C16" s="23"/>
      <c r="D16" s="23"/>
      <c r="E16" s="17" t="s">
        <v>750</v>
      </c>
      <c r="F16" s="17"/>
      <c r="G16" s="17"/>
      <c r="H16" s="17"/>
      <c r="I16" s="35" t="s">
        <v>751</v>
      </c>
      <c r="J16" s="35"/>
      <c r="K16" s="35"/>
      <c r="L16" s="35"/>
      <c r="M16" s="16" t="s">
        <v>752</v>
      </c>
      <c r="N16" s="16"/>
      <c r="O16" s="16"/>
      <c r="P16" s="16"/>
      <c r="Q16" s="42"/>
      <c r="R16" s="42"/>
      <c r="S16" s="42"/>
      <c r="T16" s="42"/>
      <c r="U16" s="42"/>
      <c r="V16" s="42"/>
    </row>
    <row r="17" ht="15" customHeight="1" spans="1:22">
      <c r="A17" s="24">
        <f>SUMIFS(T_Sales[Profit],T_Sales[Region],IF(Sel_Region="All","*",Sel_Region))</f>
        <v>408272.29</v>
      </c>
      <c r="B17" s="24"/>
      <c r="C17" s="24"/>
      <c r="D17" s="24"/>
      <c r="E17" s="25">
        <f>IFERROR((Pivot_Tables!C22-Pivot_Tables!C21)/Pivot_Tables!C21,0)</f>
        <v>-0.215986011551296</v>
      </c>
      <c r="F17" s="25"/>
      <c r="G17" s="25"/>
      <c r="H17" s="25"/>
      <c r="I17" s="38" t="str">
        <f>INDEX(Pivot_Tables!G5:G9,MATCH(MAX(Pivot_Tables!H5:H9),Pivot_Tables!H5:H9,0))</f>
        <v>Haircare</v>
      </c>
      <c r="J17" s="38"/>
      <c r="K17" s="38"/>
      <c r="L17" s="38"/>
      <c r="M17" s="39">
        <f>IFERROR(SUMIFS(T_Sales[Revenue],T_Sales[Region],IF(Sel_Region="All","*",Sel_Region))/SUM(T_Sales[Revenue]),0)</f>
        <v>0.243261127621265</v>
      </c>
      <c r="N17" s="39"/>
      <c r="O17" s="39"/>
      <c r="P17" s="39"/>
      <c r="Q17" s="42"/>
      <c r="R17" s="42"/>
      <c r="S17" s="42"/>
      <c r="T17" s="42"/>
      <c r="U17" s="42"/>
      <c r="V17" s="42"/>
    </row>
    <row r="18" ht="15" customHeight="1" spans="1:22">
      <c r="A18" s="24"/>
      <c r="B18" s="24"/>
      <c r="C18" s="24"/>
      <c r="D18" s="24"/>
      <c r="E18" s="25"/>
      <c r="F18" s="25"/>
      <c r="G18" s="25"/>
      <c r="H18" s="25"/>
      <c r="I18" s="38"/>
      <c r="J18" s="38"/>
      <c r="K18" s="38"/>
      <c r="L18" s="38"/>
      <c r="M18" s="39"/>
      <c r="N18" s="39"/>
      <c r="O18" s="39"/>
      <c r="P18" s="39"/>
      <c r="Q18" s="42"/>
      <c r="R18" s="42"/>
      <c r="S18" s="42"/>
      <c r="T18" s="42"/>
      <c r="U18" s="42"/>
      <c r="V18" s="42"/>
    </row>
    <row r="19" ht="15" customHeight="1" spans="1:22">
      <c r="A19" s="26" t="str">
        <f>TEXT(SUMIFS(T_Sales[Profit],T_Sales[Region],IF(Sel_Region="All","*",Sel_Region))/SUMIFS(T_Sales[Revenue],T_Sales[Region],IF(Sel_Region="All","*",Sel_Region)),"0.0%")&amp;" margin"</f>
        <v>43.2% margin</v>
      </c>
      <c r="B19" s="26"/>
      <c r="C19" s="26"/>
      <c r="D19" s="26"/>
      <c r="E19" s="21" t="str">
        <f>"vs "&amp;Pivot_Tables!B21</f>
        <v>vs 2026-05</v>
      </c>
      <c r="F19" s="21"/>
      <c r="G19" s="21"/>
      <c r="H19" s="21"/>
      <c r="I19" s="37" t="str">
        <f>"₹"&amp;TEXT(MAX(Pivot_Tables!H5:H9),"#,##0")&amp;" revenue"</f>
        <v>₹9,35,204 revenue</v>
      </c>
      <c r="J19" s="37"/>
      <c r="K19" s="37"/>
      <c r="L19" s="37"/>
      <c r="M19" s="20" t="str">
        <f>"Region: "&amp;Sel_Region</f>
        <v>Region: East</v>
      </c>
      <c r="N19" s="20"/>
      <c r="O19" s="20"/>
      <c r="P19" s="20"/>
      <c r="Q19" s="42"/>
      <c r="R19" s="42"/>
      <c r="S19" s="42"/>
      <c r="T19" s="42"/>
      <c r="U19" s="42"/>
      <c r="V19" s="42"/>
    </row>
    <row r="20" ht="9.75" customHeight="1" spans="1:2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2"/>
      <c r="R20" s="42"/>
      <c r="S20" s="42"/>
      <c r="T20" s="42"/>
      <c r="U20" s="42"/>
      <c r="V20" s="42"/>
    </row>
    <row r="21" ht="15" customHeight="1" spans="1:22">
      <c r="A21" s="27" t="s">
        <v>753</v>
      </c>
      <c r="B21" s="27"/>
      <c r="C21" s="27"/>
      <c r="D21" s="27"/>
      <c r="E21" s="27"/>
      <c r="F21" s="27"/>
      <c r="G21" s="27"/>
      <c r="H21" s="27"/>
      <c r="I21" s="27" t="s">
        <v>754</v>
      </c>
      <c r="J21" s="27"/>
      <c r="K21" s="27"/>
      <c r="L21" s="27"/>
      <c r="M21" s="27"/>
      <c r="N21" s="27"/>
      <c r="O21" s="27"/>
      <c r="P21" s="27"/>
      <c r="Q21" s="42"/>
      <c r="R21" s="42"/>
      <c r="S21" s="42"/>
      <c r="T21" s="42"/>
      <c r="U21" s="42"/>
      <c r="V21" s="42"/>
    </row>
    <row r="22" ht="15" customHeight="1" spans="1: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42"/>
      <c r="R22" s="42"/>
      <c r="S22" s="42"/>
      <c r="T22" s="42"/>
      <c r="U22" s="42"/>
      <c r="V22" s="42"/>
    </row>
    <row r="23" ht="15" customHeight="1" spans="1:2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42"/>
      <c r="R23" s="42"/>
      <c r="S23" s="42"/>
      <c r="T23" s="42"/>
      <c r="U23" s="42"/>
      <c r="V23" s="42"/>
    </row>
    <row r="24" ht="15" customHeight="1" spans="1:2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42"/>
      <c r="R24" s="42"/>
      <c r="S24" s="42"/>
      <c r="T24" s="42"/>
      <c r="U24" s="42"/>
      <c r="V24" s="42"/>
    </row>
    <row r="25" ht="15" customHeight="1" spans="1:2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42"/>
      <c r="R25" s="42"/>
      <c r="S25" s="42"/>
      <c r="T25" s="42"/>
      <c r="U25" s="42"/>
      <c r="V25" s="42"/>
    </row>
    <row r="26" ht="15" customHeight="1" spans="1:2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42"/>
      <c r="R26" s="42"/>
      <c r="S26" s="42"/>
      <c r="T26" s="42"/>
      <c r="U26" s="42"/>
      <c r="V26" s="42"/>
    </row>
    <row r="27" ht="15" customHeight="1" spans="1:2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42"/>
      <c r="R27" s="42"/>
      <c r="S27" s="42"/>
      <c r="T27" s="42"/>
      <c r="U27" s="42"/>
      <c r="V27" s="42"/>
    </row>
    <row r="28" ht="15" customHeight="1" spans="1:2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42"/>
      <c r="R28" s="42"/>
      <c r="S28" s="42"/>
      <c r="T28" s="42"/>
      <c r="U28" s="42"/>
      <c r="V28" s="42"/>
    </row>
    <row r="29" ht="15" customHeight="1" spans="1:2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42"/>
      <c r="R29" s="42"/>
      <c r="S29" s="42"/>
      <c r="T29" s="42"/>
      <c r="U29" s="42"/>
      <c r="V29" s="42"/>
    </row>
    <row r="30" ht="15" customHeight="1" spans="1:2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42"/>
      <c r="R30" s="42"/>
      <c r="S30" s="42"/>
      <c r="T30" s="42"/>
      <c r="U30" s="42"/>
      <c r="V30" s="42"/>
    </row>
    <row r="31" ht="15" customHeight="1" spans="1:2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42"/>
      <c r="R31" s="42"/>
      <c r="S31" s="42"/>
      <c r="T31" s="42"/>
      <c r="U31" s="42"/>
      <c r="V31" s="42"/>
    </row>
    <row r="32" ht="15" customHeight="1" spans="1:2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42"/>
      <c r="R32" s="42"/>
      <c r="S32" s="42"/>
      <c r="T32" s="42"/>
      <c r="U32" s="42"/>
      <c r="V32" s="42"/>
    </row>
    <row r="33" ht="15" customHeight="1" spans="1:2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42"/>
      <c r="R33" s="42"/>
      <c r="S33" s="42"/>
      <c r="T33" s="42"/>
      <c r="U33" s="42"/>
      <c r="V33" s="42"/>
    </row>
    <row r="34" ht="15" customHeight="1" spans="1:2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42"/>
      <c r="R34" s="42"/>
      <c r="S34" s="42"/>
      <c r="T34" s="42"/>
      <c r="U34" s="42"/>
      <c r="V34" s="42"/>
    </row>
    <row r="35" ht="15" customHeight="1" spans="1:2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42"/>
      <c r="R35" s="42"/>
      <c r="S35" s="42"/>
      <c r="T35" s="42"/>
      <c r="U35" s="42"/>
      <c r="V35" s="42"/>
    </row>
    <row r="36" ht="15" customHeight="1" spans="1:2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42"/>
      <c r="R36" s="42"/>
      <c r="S36" s="42"/>
      <c r="T36" s="42"/>
      <c r="U36" s="42"/>
      <c r="V36" s="42"/>
    </row>
    <row r="37" ht="15" customHeight="1" spans="1:2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42"/>
      <c r="R37" s="42"/>
      <c r="S37" s="42"/>
      <c r="T37" s="42"/>
      <c r="U37" s="42"/>
      <c r="V37" s="42"/>
    </row>
    <row r="38" ht="15" customHeight="1" spans="1:22">
      <c r="A38" s="27" t="s">
        <v>755</v>
      </c>
      <c r="B38" s="27"/>
      <c r="C38" s="27"/>
      <c r="D38" s="27"/>
      <c r="E38" s="27"/>
      <c r="F38" s="27"/>
      <c r="G38" s="27"/>
      <c r="H38" s="27"/>
      <c r="I38" s="27" t="s">
        <v>756</v>
      </c>
      <c r="J38" s="27"/>
      <c r="K38" s="27"/>
      <c r="L38" s="27"/>
      <c r="M38" s="27"/>
      <c r="N38" s="27"/>
      <c r="O38" s="27"/>
      <c r="P38" s="27"/>
      <c r="Q38" s="42"/>
      <c r="R38" s="42"/>
      <c r="S38" s="42"/>
      <c r="T38" s="42"/>
      <c r="U38" s="42"/>
      <c r="V38" s="42"/>
    </row>
    <row r="39" ht="15" customHeight="1" spans="1:2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42"/>
      <c r="R39" s="42"/>
      <c r="S39" s="42"/>
      <c r="T39" s="42"/>
      <c r="U39" s="42"/>
      <c r="V39" s="42"/>
    </row>
    <row r="40" ht="15" customHeight="1" spans="1:2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42"/>
      <c r="R40" s="42"/>
      <c r="S40" s="42"/>
      <c r="T40" s="42"/>
      <c r="U40" s="42"/>
      <c r="V40" s="42"/>
    </row>
    <row r="41" ht="15" customHeight="1" spans="1:2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42"/>
      <c r="R41" s="42"/>
      <c r="S41" s="42"/>
      <c r="T41" s="42"/>
      <c r="U41" s="42"/>
      <c r="V41" s="42"/>
    </row>
    <row r="42" ht="15" customHeight="1" spans="1:2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42"/>
      <c r="R42" s="42"/>
      <c r="S42" s="42"/>
      <c r="T42" s="42"/>
      <c r="U42" s="42"/>
      <c r="V42" s="42"/>
    </row>
    <row r="43" ht="15" customHeight="1" spans="1:2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42"/>
      <c r="R43" s="42"/>
      <c r="S43" s="42"/>
      <c r="T43" s="42"/>
      <c r="U43" s="42"/>
      <c r="V43" s="42"/>
    </row>
    <row r="44" ht="15" customHeight="1" spans="1:2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42"/>
      <c r="R44" s="42"/>
      <c r="S44" s="42"/>
      <c r="T44" s="42"/>
      <c r="U44" s="42"/>
      <c r="V44" s="42"/>
    </row>
    <row r="45" ht="15" customHeight="1" spans="1:2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42"/>
      <c r="R45" s="42"/>
      <c r="S45" s="42"/>
      <c r="T45" s="42"/>
      <c r="U45" s="42"/>
      <c r="V45" s="42"/>
    </row>
    <row r="46" ht="15" customHeight="1" spans="1:2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42"/>
      <c r="R46" s="42"/>
      <c r="S46" s="42"/>
      <c r="T46" s="42"/>
      <c r="U46" s="42"/>
      <c r="V46" s="42"/>
    </row>
    <row r="47" ht="15" customHeight="1" spans="1:2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42"/>
      <c r="R47" s="42"/>
      <c r="S47" s="42"/>
      <c r="T47" s="42"/>
      <c r="U47" s="42"/>
      <c r="V47" s="42"/>
    </row>
    <row r="48" ht="15" customHeight="1" spans="1:2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42"/>
      <c r="R48" s="42"/>
      <c r="S48" s="42"/>
      <c r="T48" s="42"/>
      <c r="U48" s="42"/>
      <c r="V48" s="42"/>
    </row>
    <row r="49" ht="15" customHeight="1" spans="1:2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42"/>
      <c r="R49" s="42"/>
      <c r="S49" s="42"/>
      <c r="T49" s="42"/>
      <c r="U49" s="42"/>
      <c r="V49" s="42"/>
    </row>
    <row r="50" ht="15" customHeight="1" spans="1:2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42"/>
      <c r="R50" s="42"/>
      <c r="S50" s="42"/>
      <c r="T50" s="42"/>
      <c r="U50" s="42"/>
      <c r="V50" s="42"/>
    </row>
    <row r="51" ht="15" customHeight="1" spans="1:2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42"/>
      <c r="R51" s="42"/>
      <c r="S51" s="42"/>
      <c r="T51" s="42"/>
      <c r="U51" s="42"/>
      <c r="V51" s="42"/>
    </row>
    <row r="52" ht="15" customHeight="1" spans="1:2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42"/>
      <c r="R52" s="42"/>
      <c r="S52" s="42"/>
      <c r="T52" s="42"/>
      <c r="U52" s="42"/>
      <c r="V52" s="42"/>
    </row>
    <row r="53" ht="15" customHeight="1" spans="1:2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42"/>
      <c r="R53" s="42"/>
      <c r="S53" s="42"/>
      <c r="T53" s="42"/>
      <c r="U53" s="42"/>
      <c r="V53" s="42"/>
    </row>
    <row r="54" ht="15" customHeight="1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42"/>
      <c r="R54" s="42"/>
      <c r="S54" s="42"/>
      <c r="T54" s="42"/>
      <c r="U54" s="42"/>
      <c r="V54" s="42"/>
    </row>
    <row r="55" ht="15" customHeight="1" spans="1:22">
      <c r="A55" s="27" t="s">
        <v>757</v>
      </c>
      <c r="B55" s="27"/>
      <c r="C55" s="27"/>
      <c r="D55" s="27"/>
      <c r="E55" s="27"/>
      <c r="F55" s="27"/>
      <c r="G55" s="27"/>
      <c r="H55" s="27"/>
      <c r="I55" s="27" t="s">
        <v>758</v>
      </c>
      <c r="J55" s="27"/>
      <c r="K55" s="27"/>
      <c r="L55" s="27"/>
      <c r="M55" s="27"/>
      <c r="N55" s="27"/>
      <c r="O55" s="27"/>
      <c r="P55" s="27"/>
      <c r="Q55" s="42"/>
      <c r="R55" s="42"/>
      <c r="S55" s="42"/>
      <c r="T55" s="42"/>
      <c r="U55" s="42"/>
      <c r="V55" s="42"/>
    </row>
    <row r="56" ht="15" customHeight="1" spans="1:2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42"/>
      <c r="R56" s="42"/>
      <c r="S56" s="42"/>
      <c r="T56" s="42"/>
      <c r="U56" s="42"/>
      <c r="V56" s="42"/>
    </row>
    <row r="57" ht="15" customHeight="1" spans="1:22">
      <c r="A57" s="28" t="s">
        <v>5</v>
      </c>
      <c r="B57" s="28" t="s">
        <v>30</v>
      </c>
      <c r="C57" s="28" t="s">
        <v>80</v>
      </c>
      <c r="D57" s="28" t="s">
        <v>54</v>
      </c>
      <c r="E57" s="28" t="s">
        <v>41</v>
      </c>
      <c r="F57" s="28" t="s">
        <v>48</v>
      </c>
      <c r="G57" s="14"/>
      <c r="H57" s="14"/>
      <c r="I57" s="28" t="s">
        <v>734</v>
      </c>
      <c r="J57" s="28" t="s">
        <v>735</v>
      </c>
      <c r="K57" s="28"/>
      <c r="L57" s="28"/>
      <c r="M57" s="28" t="s">
        <v>759</v>
      </c>
      <c r="N57" s="28"/>
      <c r="O57" s="28" t="s">
        <v>726</v>
      </c>
      <c r="P57" s="28"/>
      <c r="Q57" s="42"/>
      <c r="R57" s="42"/>
      <c r="S57" s="42"/>
      <c r="T57" s="42"/>
      <c r="U57" s="42"/>
      <c r="V57" s="42"/>
    </row>
    <row r="58" ht="15" customHeight="1" spans="1:22">
      <c r="A58" s="29" t="s">
        <v>24</v>
      </c>
      <c r="B58" s="30">
        <f>Pivot_Tables!C190</f>
        <v>149004.14</v>
      </c>
      <c r="C58" s="30">
        <f>Pivot_Tables!D190</f>
        <v>201834.71</v>
      </c>
      <c r="D58" s="30">
        <f>Pivot_Tables!E190</f>
        <v>140415.7</v>
      </c>
      <c r="E58" s="30">
        <f>Pivot_Tables!F190</f>
        <v>128327.68</v>
      </c>
      <c r="F58" s="30">
        <f>Pivot_Tables!G190</f>
        <v>98533.31</v>
      </c>
      <c r="G58" s="14"/>
      <c r="H58" s="14"/>
      <c r="I58" s="40">
        <f>Pivot_Tables!Q25</f>
        <v>1</v>
      </c>
      <c r="J58" s="14" t="str">
        <f>Pivot_Tables!R25</f>
        <v>Aarav Das</v>
      </c>
      <c r="K58" s="14"/>
      <c r="L58" s="14"/>
      <c r="M58" s="41">
        <f>Pivot_Tables!S25</f>
        <v>90721.25</v>
      </c>
      <c r="N58" s="41"/>
      <c r="O58" s="40">
        <f>Pivot_Tables!T25</f>
        <v>2</v>
      </c>
      <c r="P58" s="40"/>
      <c r="Q58" s="42"/>
      <c r="R58" s="42"/>
      <c r="S58" s="42"/>
      <c r="T58" s="42"/>
      <c r="U58" s="42"/>
      <c r="V58" s="42"/>
    </row>
    <row r="59" ht="15" customHeight="1" spans="1:22">
      <c r="A59" s="29" t="s">
        <v>61</v>
      </c>
      <c r="B59" s="30">
        <f>Pivot_Tables!C191</f>
        <v>182157.01</v>
      </c>
      <c r="C59" s="30">
        <f>Pivot_Tables!D191</f>
        <v>163012.05</v>
      </c>
      <c r="D59" s="30">
        <f>Pivot_Tables!E191</f>
        <v>177996.77</v>
      </c>
      <c r="E59" s="30">
        <f>Pivot_Tables!F191</f>
        <v>139267.89</v>
      </c>
      <c r="F59" s="30">
        <f>Pivot_Tables!G191</f>
        <v>189291.99</v>
      </c>
      <c r="G59" s="14"/>
      <c r="H59" s="14"/>
      <c r="I59" s="40">
        <f>Pivot_Tables!Q26</f>
        <v>2</v>
      </c>
      <c r="J59" s="14" t="str">
        <f>Pivot_Tables!R26</f>
        <v>Riya Reddy</v>
      </c>
      <c r="K59" s="14"/>
      <c r="L59" s="14"/>
      <c r="M59" s="41">
        <f>Pivot_Tables!S26</f>
        <v>83695.16</v>
      </c>
      <c r="N59" s="41"/>
      <c r="O59" s="40">
        <f>Pivot_Tables!T26</f>
        <v>3</v>
      </c>
      <c r="P59" s="40"/>
      <c r="Q59" s="42"/>
      <c r="R59" s="42"/>
      <c r="S59" s="42"/>
      <c r="T59" s="42"/>
      <c r="U59" s="42"/>
      <c r="V59" s="42"/>
    </row>
    <row r="60" ht="15" customHeight="1" spans="1:22">
      <c r="A60" s="29" t="s">
        <v>42</v>
      </c>
      <c r="B60" s="30">
        <f>Pivot_Tables!C192</f>
        <v>63290.36</v>
      </c>
      <c r="C60" s="30">
        <f>Pivot_Tables!D192</f>
        <v>165928.49</v>
      </c>
      <c r="D60" s="30">
        <f>Pivot_Tables!E192</f>
        <v>193285.34</v>
      </c>
      <c r="E60" s="30">
        <f>Pivot_Tables!F192</f>
        <v>276015.83</v>
      </c>
      <c r="F60" s="30">
        <f>Pivot_Tables!G192</f>
        <v>236683.85</v>
      </c>
      <c r="G60" s="14"/>
      <c r="H60" s="14"/>
      <c r="I60" s="40">
        <f>Pivot_Tables!Q27</f>
        <v>3</v>
      </c>
      <c r="J60" s="14" t="str">
        <f>Pivot_Tables!R27</f>
        <v>Arjun Menon</v>
      </c>
      <c r="K60" s="14"/>
      <c r="L60" s="14"/>
      <c r="M60" s="41">
        <f>Pivot_Tables!S27</f>
        <v>83470.57</v>
      </c>
      <c r="N60" s="41"/>
      <c r="O60" s="40">
        <f>Pivot_Tables!T27</f>
        <v>3</v>
      </c>
      <c r="P60" s="40"/>
      <c r="Q60" s="42"/>
      <c r="R60" s="42"/>
      <c r="S60" s="42"/>
      <c r="T60" s="42"/>
      <c r="U60" s="42"/>
      <c r="V60" s="42"/>
    </row>
    <row r="61" ht="15" customHeight="1" spans="1:22">
      <c r="A61" s="29" t="s">
        <v>55</v>
      </c>
      <c r="B61" s="30">
        <f>Pivot_Tables!C193</f>
        <v>72763.92</v>
      </c>
      <c r="C61" s="30">
        <f>Pivot_Tables!D193</f>
        <v>234876.71</v>
      </c>
      <c r="D61" s="30">
        <f>Pivot_Tables!E193</f>
        <v>144119.68</v>
      </c>
      <c r="E61" s="30">
        <f>Pivot_Tables!F193</f>
        <v>47730.71</v>
      </c>
      <c r="F61" s="30">
        <f>Pivot_Tables!G193</f>
        <v>81522.12</v>
      </c>
      <c r="G61" s="14"/>
      <c r="H61" s="14"/>
      <c r="I61" s="40">
        <f>Pivot_Tables!Q28</f>
        <v>4</v>
      </c>
      <c r="J61" s="14" t="str">
        <f>Pivot_Tables!R28</f>
        <v>Sara Iyer</v>
      </c>
      <c r="K61" s="14"/>
      <c r="L61" s="14"/>
      <c r="M61" s="41">
        <f>Pivot_Tables!S28</f>
        <v>65044.14</v>
      </c>
      <c r="N61" s="41"/>
      <c r="O61" s="40">
        <f>Pivot_Tables!T28</f>
        <v>2</v>
      </c>
      <c r="P61" s="40"/>
      <c r="Q61" s="42"/>
      <c r="R61" s="42"/>
      <c r="S61" s="42"/>
      <c r="T61" s="42"/>
      <c r="U61" s="42"/>
      <c r="V61" s="42"/>
    </row>
    <row r="62" ht="15" customHeight="1" spans="1:22">
      <c r="A62" s="29" t="s">
        <v>16</v>
      </c>
      <c r="B62" s="30">
        <f>Pivot_Tables!C194</f>
        <v>141692.39</v>
      </c>
      <c r="C62" s="30">
        <f>Pivot_Tables!D194</f>
        <v>179042.58</v>
      </c>
      <c r="D62" s="30">
        <f>Pivot_Tables!E194</f>
        <v>111524.29</v>
      </c>
      <c r="E62" s="30">
        <f>Pivot_Tables!F194</f>
        <v>199385.78</v>
      </c>
      <c r="F62" s="30">
        <f>Pivot_Tables!G194</f>
        <v>165755.39</v>
      </c>
      <c r="G62" s="14"/>
      <c r="H62" s="14"/>
      <c r="I62" s="40">
        <f>Pivot_Tables!Q29</f>
        <v>5</v>
      </c>
      <c r="J62" s="14" t="str">
        <f>Pivot_Tables!R29</f>
        <v>Neha Chatterjee</v>
      </c>
      <c r="K62" s="14"/>
      <c r="L62" s="14"/>
      <c r="M62" s="41">
        <f>Pivot_Tables!S29</f>
        <v>64432.91</v>
      </c>
      <c r="N62" s="41"/>
      <c r="O62" s="40">
        <f>Pivot_Tables!T29</f>
        <v>3</v>
      </c>
      <c r="P62" s="40"/>
      <c r="Q62" s="42"/>
      <c r="R62" s="42"/>
      <c r="S62" s="42"/>
      <c r="T62" s="42"/>
      <c r="U62" s="42"/>
      <c r="V62" s="42"/>
    </row>
    <row r="63" ht="15" customHeight="1" spans="1:22">
      <c r="A63" s="5"/>
      <c r="B63" s="5"/>
      <c r="C63" s="5"/>
      <c r="D63" s="5"/>
      <c r="E63" s="5"/>
      <c r="F63" s="5"/>
      <c r="G63" s="5"/>
      <c r="H63" s="5"/>
      <c r="I63" s="40">
        <f>Pivot_Tables!Q30</f>
        <v>6</v>
      </c>
      <c r="J63" s="14" t="str">
        <f>Pivot_Tables!R30</f>
        <v>Tara Das</v>
      </c>
      <c r="K63" s="14"/>
      <c r="L63" s="14"/>
      <c r="M63" s="41">
        <f>Pivot_Tables!S30</f>
        <v>62387.66</v>
      </c>
      <c r="N63" s="41"/>
      <c r="O63" s="40">
        <f>Pivot_Tables!T30</f>
        <v>2</v>
      </c>
      <c r="P63" s="40"/>
      <c r="Q63" s="42"/>
      <c r="R63" s="42"/>
      <c r="S63" s="42"/>
      <c r="T63" s="42"/>
      <c r="U63" s="42"/>
      <c r="V63" s="42"/>
    </row>
    <row r="64" ht="15" customHeight="1" spans="1:22">
      <c r="A64" s="5"/>
      <c r="B64" s="5"/>
      <c r="C64" s="5"/>
      <c r="D64" s="5"/>
      <c r="E64" s="5"/>
      <c r="F64" s="5"/>
      <c r="G64" s="5"/>
      <c r="H64" s="5"/>
      <c r="I64" s="40">
        <f>Pivot_Tables!Q31</f>
        <v>7</v>
      </c>
      <c r="J64" s="14" t="str">
        <f>Pivot_Tables!R31</f>
        <v>Rohan Gupta</v>
      </c>
      <c r="K64" s="14"/>
      <c r="L64" s="14"/>
      <c r="M64" s="41">
        <f>Pivot_Tables!S31</f>
        <v>57724.35</v>
      </c>
      <c r="N64" s="41"/>
      <c r="O64" s="40">
        <f>Pivot_Tables!T31</f>
        <v>3</v>
      </c>
      <c r="P64" s="40"/>
      <c r="Q64" s="42"/>
      <c r="R64" s="42"/>
      <c r="S64" s="42"/>
      <c r="T64" s="42"/>
      <c r="U64" s="42"/>
      <c r="V64" s="42"/>
    </row>
    <row r="65" ht="15" customHeight="1" spans="1:22">
      <c r="A65" s="5"/>
      <c r="B65" s="5"/>
      <c r="C65" s="5"/>
      <c r="D65" s="5"/>
      <c r="E65" s="5"/>
      <c r="F65" s="5"/>
      <c r="G65" s="5"/>
      <c r="H65" s="5"/>
      <c r="I65" s="40">
        <f>Pivot_Tables!Q32</f>
        <v>8</v>
      </c>
      <c r="J65" s="14" t="str">
        <f>Pivot_Tables!R32</f>
        <v>Ishita Menon</v>
      </c>
      <c r="K65" s="14"/>
      <c r="L65" s="14"/>
      <c r="M65" s="41">
        <f>Pivot_Tables!S32</f>
        <v>55849.89</v>
      </c>
      <c r="N65" s="41"/>
      <c r="O65" s="40">
        <f>Pivot_Tables!T32</f>
        <v>3</v>
      </c>
      <c r="P65" s="40"/>
      <c r="Q65" s="42"/>
      <c r="R65" s="42"/>
      <c r="S65" s="42"/>
      <c r="T65" s="42"/>
      <c r="U65" s="42"/>
      <c r="V65" s="42"/>
    </row>
    <row r="66" ht="15" customHeight="1" spans="1:22">
      <c r="A66" s="5"/>
      <c r="B66" s="5"/>
      <c r="C66" s="5"/>
      <c r="D66" s="5"/>
      <c r="E66" s="5"/>
      <c r="F66" s="5"/>
      <c r="G66" s="5"/>
      <c r="H66" s="5"/>
      <c r="I66" s="40">
        <f>Pivot_Tables!Q33</f>
        <v>9</v>
      </c>
      <c r="J66" s="14" t="str">
        <f>Pivot_Tables!R33</f>
        <v>Vihaan Reddy</v>
      </c>
      <c r="K66" s="14"/>
      <c r="L66" s="14"/>
      <c r="M66" s="41">
        <f>Pivot_Tables!S33</f>
        <v>54645.43</v>
      </c>
      <c r="N66" s="41"/>
      <c r="O66" s="40">
        <f>Pivot_Tables!T33</f>
        <v>2</v>
      </c>
      <c r="P66" s="40"/>
      <c r="Q66" s="42"/>
      <c r="R66" s="42"/>
      <c r="S66" s="42"/>
      <c r="T66" s="42"/>
      <c r="U66" s="42"/>
      <c r="V66" s="42"/>
    </row>
    <row r="67" ht="15" customHeight="1" spans="1:22">
      <c r="A67" s="5"/>
      <c r="B67" s="5"/>
      <c r="C67" s="5"/>
      <c r="D67" s="5"/>
      <c r="E67" s="5"/>
      <c r="F67" s="5"/>
      <c r="G67" s="5"/>
      <c r="H67" s="5"/>
      <c r="I67" s="40">
        <f>Pivot_Tables!Q34</f>
        <v>10</v>
      </c>
      <c r="J67" s="14" t="str">
        <f>Pivot_Tables!R34</f>
        <v>Priya Reddy</v>
      </c>
      <c r="K67" s="14"/>
      <c r="L67" s="14"/>
      <c r="M67" s="41">
        <f>Pivot_Tables!S34</f>
        <v>54014.4</v>
      </c>
      <c r="N67" s="41"/>
      <c r="O67" s="40">
        <f>Pivot_Tables!T34</f>
        <v>1</v>
      </c>
      <c r="P67" s="40"/>
      <c r="Q67" s="42"/>
      <c r="R67" s="42"/>
      <c r="S67" s="42"/>
      <c r="T67" s="42"/>
      <c r="U67" s="42"/>
      <c r="V67" s="42"/>
    </row>
    <row r="68" ht="15" customHeight="1" spans="1:2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42"/>
      <c r="R68" s="42"/>
      <c r="S68" s="42"/>
      <c r="T68" s="42"/>
      <c r="U68" s="42"/>
      <c r="V68" s="42"/>
    </row>
    <row r="69" ht="15" customHeight="1" spans="1:22">
      <c r="A69" s="27" t="s">
        <v>760</v>
      </c>
      <c r="B69" s="27"/>
      <c r="C69" s="27"/>
      <c r="D69" s="27"/>
      <c r="E69" s="27"/>
      <c r="F69" s="27"/>
      <c r="G69" s="27"/>
      <c r="H69" s="27"/>
      <c r="I69" s="27" t="s">
        <v>761</v>
      </c>
      <c r="J69" s="27"/>
      <c r="K69" s="27"/>
      <c r="L69" s="27"/>
      <c r="M69" s="27"/>
      <c r="N69" s="27"/>
      <c r="O69" s="27"/>
      <c r="P69" s="27"/>
      <c r="Q69" s="42"/>
      <c r="R69" s="42"/>
      <c r="S69" s="42"/>
      <c r="T69" s="42"/>
      <c r="U69" s="42"/>
      <c r="V69" s="42"/>
    </row>
    <row r="70" ht="15" customHeight="1" spans="1:22">
      <c r="A70" s="14"/>
      <c r="B70" s="14"/>
      <c r="C70" s="14"/>
      <c r="D70" s="14"/>
      <c r="E70" s="14"/>
      <c r="F70" s="14"/>
      <c r="G70" s="14"/>
      <c r="H70" s="14"/>
      <c r="I70" s="44" t="str">
        <f>"• Best category: "&amp;INDEX(Pivot_Tables!G5:G9,MATCH(MAX(Pivot_Tables!H5:H9),Pivot_Tables!H5:H9,0))&amp;" — ₹"&amp;TEXT(MAX(Pivot_Tables!H5:H9),"#,##0")</f>
        <v>• Best category: Haircare — ₹9,35,204</v>
      </c>
      <c r="J70" s="44"/>
      <c r="K70" s="44"/>
      <c r="L70" s="44"/>
      <c r="M70" s="44"/>
      <c r="N70" s="44"/>
      <c r="O70" s="44"/>
      <c r="P70" s="44"/>
      <c r="Q70" s="42"/>
      <c r="R70" s="42"/>
      <c r="S70" s="42"/>
      <c r="T70" s="42"/>
      <c r="U70" s="42"/>
      <c r="V70" s="42"/>
    </row>
    <row r="71" ht="15" customHeight="1" spans="1:2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42"/>
      <c r="R71" s="42"/>
      <c r="S71" s="42"/>
      <c r="T71" s="42"/>
      <c r="U71" s="42"/>
      <c r="V71" s="42"/>
    </row>
    <row r="72" ht="15" customHeight="1" spans="1:22">
      <c r="A72" s="14"/>
      <c r="B72" s="14"/>
      <c r="C72" s="14"/>
      <c r="D72" s="14"/>
      <c r="E72" s="14"/>
      <c r="F72" s="14"/>
      <c r="G72" s="14"/>
      <c r="H72" s="14"/>
      <c r="I72" s="44" t="str">
        <f>"• Top region: "&amp;INDEX(Pivot_Tables!M5:M9,MATCH(MAX(Pivot_Tables!N5:N9),Pivot_Tables!N5:N9,0))&amp;" — ₹"&amp;TEXT(MAX(Pivot_Tables!N5:N9),"#,##0")</f>
        <v>• Top region: East — ₹9,44,695</v>
      </c>
      <c r="J72" s="44"/>
      <c r="K72" s="44"/>
      <c r="L72" s="44"/>
      <c r="M72" s="44"/>
      <c r="N72" s="44"/>
      <c r="O72" s="44"/>
      <c r="P72" s="44"/>
      <c r="Q72" s="42"/>
      <c r="R72" s="42"/>
      <c r="S72" s="42"/>
      <c r="T72" s="42"/>
      <c r="U72" s="42"/>
      <c r="V72" s="42"/>
    </row>
    <row r="73" ht="15" customHeight="1" spans="1:2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42"/>
      <c r="R73" s="42"/>
      <c r="S73" s="42"/>
      <c r="T73" s="42"/>
      <c r="U73" s="42"/>
      <c r="V73" s="42"/>
    </row>
    <row r="74" ht="15" customHeight="1" spans="1:22">
      <c r="A74" s="14"/>
      <c r="B74" s="14"/>
      <c r="C74" s="14"/>
      <c r="D74" s="14"/>
      <c r="E74" s="14"/>
      <c r="F74" s="14"/>
      <c r="G74" s="14"/>
      <c r="H74" s="14"/>
      <c r="I74" s="44" t="str">
        <f>"• Best-selling product: "&amp;Pivot_Tables!H25&amp;" ("&amp;TEXT(Pivot_Tables!I25,"#,##0")&amp;" revenue)"</f>
        <v>• Best-selling product: Amber Oud (4,41,862 revenue)</v>
      </c>
      <c r="J74" s="44"/>
      <c r="K74" s="44"/>
      <c r="L74" s="44"/>
      <c r="M74" s="44"/>
      <c r="N74" s="44"/>
      <c r="O74" s="44"/>
      <c r="P74" s="44"/>
      <c r="Q74" s="42"/>
      <c r="R74" s="42"/>
      <c r="S74" s="42"/>
      <c r="T74" s="42"/>
      <c r="U74" s="42"/>
      <c r="V74" s="42"/>
    </row>
    <row r="75" ht="15" customHeight="1" spans="1:2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42"/>
      <c r="R75" s="42"/>
      <c r="S75" s="42"/>
      <c r="T75" s="42"/>
      <c r="U75" s="42"/>
      <c r="V75" s="42"/>
    </row>
    <row r="76" ht="15" customHeight="1" spans="1:22">
      <c r="A76" s="14"/>
      <c r="B76" s="14"/>
      <c r="C76" s="14"/>
      <c r="D76" s="14"/>
      <c r="E76" s="14"/>
      <c r="F76" s="14"/>
      <c r="G76" s="14"/>
      <c r="H76" s="14"/>
      <c r="I76" s="44" t="str">
        <f>"• Overall gross margin: "&amp;TEXT(SUM(T_Sales[Profit])/SUM(T_Sales[Revenue]),"0.0%")</f>
        <v>• Overall gross margin: 43.9%</v>
      </c>
      <c r="J76" s="44"/>
      <c r="K76" s="44"/>
      <c r="L76" s="44"/>
      <c r="M76" s="44"/>
      <c r="N76" s="44"/>
      <c r="O76" s="44"/>
      <c r="P76" s="44"/>
      <c r="Q76" s="42"/>
      <c r="R76" s="42"/>
      <c r="S76" s="42"/>
      <c r="T76" s="42"/>
      <c r="U76" s="42"/>
      <c r="V76" s="42"/>
    </row>
    <row r="77" ht="15" customHeight="1" spans="1:2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42"/>
      <c r="R77" s="42"/>
      <c r="S77" s="42"/>
      <c r="T77" s="42"/>
      <c r="U77" s="42"/>
      <c r="V77" s="42"/>
    </row>
    <row r="78" ht="15" customHeight="1" spans="1:22">
      <c r="A78" s="14"/>
      <c r="B78" s="14"/>
      <c r="C78" s="14"/>
      <c r="D78" s="14"/>
      <c r="E78" s="14"/>
      <c r="F78" s="14"/>
      <c r="G78" s="14"/>
      <c r="H78" s="14"/>
      <c r="I78" s="44" t="str">
        <f>"• Unique customers served: "&amp;SUM(T_Sales[IsFirstCustomer])&amp;" across "&amp;COUNTA(T_Sales[OrderID])&amp;" orders"</f>
        <v>• Unique customers served: 163 across 222 orders</v>
      </c>
      <c r="J78" s="44"/>
      <c r="K78" s="44"/>
      <c r="L78" s="44"/>
      <c r="M78" s="44"/>
      <c r="N78" s="44"/>
      <c r="O78" s="44"/>
      <c r="P78" s="44"/>
      <c r="Q78" s="42"/>
      <c r="R78" s="42"/>
      <c r="S78" s="42"/>
      <c r="T78" s="42"/>
      <c r="U78" s="42"/>
      <c r="V78" s="42"/>
    </row>
    <row r="79" ht="15" customHeight="1" spans="1:2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42"/>
      <c r="R79" s="42"/>
      <c r="S79" s="42"/>
      <c r="T79" s="42"/>
      <c r="U79" s="42"/>
      <c r="V79" s="42"/>
    </row>
    <row r="80" ht="15" customHeight="1" spans="1:2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42"/>
      <c r="R80" s="42"/>
      <c r="S80" s="42"/>
      <c r="T80" s="42"/>
      <c r="U80" s="42"/>
      <c r="V80" s="42"/>
    </row>
    <row r="81" ht="15" customHeight="1" spans="1:2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42"/>
      <c r="R81" s="42"/>
      <c r="S81" s="42"/>
      <c r="T81" s="42"/>
      <c r="U81" s="42"/>
      <c r="V81" s="42"/>
    </row>
    <row r="82" ht="15" customHeight="1" spans="1:2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42"/>
      <c r="R82" s="42"/>
      <c r="S82" s="42"/>
      <c r="T82" s="42"/>
      <c r="U82" s="42"/>
      <c r="V82" s="42"/>
    </row>
    <row r="83" ht="15" customHeight="1" spans="1:2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42"/>
      <c r="R83" s="42"/>
      <c r="S83" s="42"/>
      <c r="T83" s="42"/>
      <c r="U83" s="42"/>
      <c r="V83" s="42"/>
    </row>
    <row r="84" ht="15" customHeight="1" spans="1:22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2"/>
      <c r="R84" s="42"/>
      <c r="S84" s="42"/>
      <c r="T84" s="42"/>
      <c r="U84" s="42"/>
      <c r="V84" s="42"/>
    </row>
    <row r="85" ht="15" customHeight="1" spans="1:2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42"/>
      <c r="R85" s="42"/>
      <c r="S85" s="42"/>
      <c r="T85" s="42"/>
      <c r="U85" s="42"/>
      <c r="V85" s="42"/>
    </row>
    <row r="86" ht="15" customHeight="1" spans="1:2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42"/>
      <c r="R86" s="42"/>
      <c r="S86" s="42"/>
      <c r="T86" s="42"/>
      <c r="U86" s="42"/>
      <c r="V86" s="42"/>
    </row>
    <row r="87" ht="15" customHeight="1" spans="1:2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42"/>
      <c r="R87" s="42"/>
      <c r="S87" s="42"/>
      <c r="T87" s="42"/>
      <c r="U87" s="42"/>
      <c r="V87" s="42"/>
    </row>
    <row r="88" ht="15" customHeight="1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42"/>
      <c r="R88" s="42"/>
      <c r="S88" s="42"/>
      <c r="T88" s="42"/>
      <c r="U88" s="42"/>
      <c r="V88" s="42"/>
    </row>
    <row r="89" ht="15" customHeight="1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42"/>
      <c r="R89" s="42"/>
      <c r="S89" s="42"/>
      <c r="T89" s="42"/>
      <c r="U89" s="42"/>
      <c r="V89" s="42"/>
    </row>
  </sheetData>
  <mergeCells count="81">
    <mergeCell ref="M2:P2"/>
    <mergeCell ref="M3:P3"/>
    <mergeCell ref="C4:L4"/>
    <mergeCell ref="M4:P4"/>
    <mergeCell ref="M5:P5"/>
    <mergeCell ref="A7:B7"/>
    <mergeCell ref="C7:D7"/>
    <mergeCell ref="F7:P7"/>
    <mergeCell ref="A10:D10"/>
    <mergeCell ref="E10:H10"/>
    <mergeCell ref="I10:L10"/>
    <mergeCell ref="M10:P10"/>
    <mergeCell ref="A13:D13"/>
    <mergeCell ref="E13:H13"/>
    <mergeCell ref="I13:L13"/>
    <mergeCell ref="M13:P13"/>
    <mergeCell ref="A16:D16"/>
    <mergeCell ref="E16:H16"/>
    <mergeCell ref="I16:L16"/>
    <mergeCell ref="M16:P16"/>
    <mergeCell ref="A19:D19"/>
    <mergeCell ref="E19:H19"/>
    <mergeCell ref="I19:L19"/>
    <mergeCell ref="M19:P19"/>
    <mergeCell ref="A21:H21"/>
    <mergeCell ref="I21:P21"/>
    <mergeCell ref="A38:H38"/>
    <mergeCell ref="I38:P38"/>
    <mergeCell ref="A55:H55"/>
    <mergeCell ref="I55:P55"/>
    <mergeCell ref="J57:L57"/>
    <mergeCell ref="M57:N57"/>
    <mergeCell ref="O57:P57"/>
    <mergeCell ref="J58:L58"/>
    <mergeCell ref="M58:N58"/>
    <mergeCell ref="O58:P58"/>
    <mergeCell ref="J59:L59"/>
    <mergeCell ref="M59:N59"/>
    <mergeCell ref="O59:P59"/>
    <mergeCell ref="J60:L60"/>
    <mergeCell ref="M60:N60"/>
    <mergeCell ref="O60:P60"/>
    <mergeCell ref="J61:L61"/>
    <mergeCell ref="M61:N61"/>
    <mergeCell ref="O61:P61"/>
    <mergeCell ref="J62:L62"/>
    <mergeCell ref="M62:N62"/>
    <mergeCell ref="O62:P62"/>
    <mergeCell ref="J63:L63"/>
    <mergeCell ref="M63:N63"/>
    <mergeCell ref="O63:P63"/>
    <mergeCell ref="J64:L64"/>
    <mergeCell ref="M64:N64"/>
    <mergeCell ref="O64:P64"/>
    <mergeCell ref="J65:L65"/>
    <mergeCell ref="M65:N65"/>
    <mergeCell ref="O65:P65"/>
    <mergeCell ref="J66:L66"/>
    <mergeCell ref="M66:N66"/>
    <mergeCell ref="O66:P66"/>
    <mergeCell ref="J67:L67"/>
    <mergeCell ref="M67:N67"/>
    <mergeCell ref="O67:P67"/>
    <mergeCell ref="A69:H69"/>
    <mergeCell ref="I69:P69"/>
    <mergeCell ref="I70:P70"/>
    <mergeCell ref="I72:P72"/>
    <mergeCell ref="I74:P74"/>
    <mergeCell ref="I76:P76"/>
    <mergeCell ref="I78:P78"/>
    <mergeCell ref="A84:P84"/>
    <mergeCell ref="A2:B5"/>
    <mergeCell ref="C2:L3"/>
    <mergeCell ref="A11:D12"/>
    <mergeCell ref="E11:H12"/>
    <mergeCell ref="I11:L12"/>
    <mergeCell ref="M11:P12"/>
    <mergeCell ref="A17:D18"/>
    <mergeCell ref="E17:H18"/>
    <mergeCell ref="I17:L18"/>
    <mergeCell ref="M17:P18"/>
  </mergeCells>
  <conditionalFormatting sqref="B58:F62">
    <cfRule type="colorScale" priority="2">
      <colorScale>
        <cfvo type="min"/>
        <cfvo type="percentile" val="50"/>
        <cfvo type="max"/>
        <color rgb="FFFFF5F8"/>
        <color rgb="FFE89AB4"/>
        <color rgb="FFFF5C8A"/>
      </colorScale>
    </cfRule>
  </conditionalFormatting>
  <conditionalFormatting sqref="M58:N67">
    <cfRule type="dataBar" priority="3">
      <dataBar>
        <cfvo type="min"/>
        <cfvo type="max"/>
        <color rgb="FFFF5C8A"/>
      </dataBar>
      <extLst>
        <ext xmlns:x14="http://schemas.microsoft.com/office/spreadsheetml/2009/9/main" uri="{B025F937-C7B1-47D3-B67F-A62EFF666E3E}">
          <x14:id>{394cbff8-6b64-4ed3-85de-993f9f336e85}</x14:id>
        </ext>
      </extLst>
    </cfRule>
  </conditionalFormatting>
  <dataValidations count="1">
    <dataValidation type="list" sqref="C7">
      <formula1>"All,North,South,East,West,Central"</formula1>
    </dataValidation>
  </dataValidations>
  <pageMargins left="0.75" right="0.75" top="1" bottom="1" header="0.511811023622047" footer="0.511811023622047"/>
  <pageSetup paperSize="9" fitToHeight="0" orientation="landscape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4cbff8-6b64-4ed3-85de-993f9f336e85}">
            <x14:dataBar minLength="10" maxLength="90" axisPosition="none">
              <x14:cfvo type="min"/>
              <x14:cfvo type="max"/>
              <x14:negativeFillColor rgb="FFFF5C8A"/>
              <x14:axisColor indexed="65"/>
            </x14:dataBar>
          </x14:cfRule>
          <xm:sqref>M58:N67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C6B7A"/>
  </sheetPr>
  <dimension ref="A1:C44"/>
  <sheetViews>
    <sheetView showGridLines="0" workbookViewId="0">
      <selection activeCell="A1" sqref="A1:C1"/>
    </sheetView>
  </sheetViews>
  <sheetFormatPr defaultColWidth="8.68181818181818" defaultRowHeight="14.5" outlineLevelCol="2"/>
  <cols>
    <col min="1" max="1" width="3" style="1" customWidth="1"/>
    <col min="2" max="2" width="108" style="1" customWidth="1"/>
  </cols>
  <sheetData>
    <row r="1" ht="19.5" customHeight="1" spans="1:3">
      <c r="A1" s="2" t="s">
        <v>762</v>
      </c>
      <c r="B1" s="2"/>
      <c r="C1" s="2"/>
    </row>
    <row r="3" ht="15" customHeight="1" spans="2:2">
      <c r="B3" s="3" t="s">
        <v>763</v>
      </c>
    </row>
    <row r="4" ht="30" customHeight="1" spans="2:2">
      <c r="B4" s="4" t="s">
        <v>764</v>
      </c>
    </row>
    <row r="6" ht="15" customHeight="1" spans="2:2">
      <c r="B6" s="3" t="s">
        <v>765</v>
      </c>
    </row>
    <row r="7" ht="25.5" customHeight="1" spans="2:2">
      <c r="B7" s="4" t="s">
        <v>766</v>
      </c>
    </row>
    <row r="8" ht="25.5" customHeight="1" spans="2:2">
      <c r="B8" s="4" t="s">
        <v>767</v>
      </c>
    </row>
    <row r="9" ht="25.5" customHeight="1" spans="2:2">
      <c r="B9" s="4" t="s">
        <v>768</v>
      </c>
    </row>
    <row r="10" ht="25.5" customHeight="1" spans="2:2">
      <c r="B10" s="4" t="s">
        <v>769</v>
      </c>
    </row>
    <row r="11" ht="25.5" customHeight="1" spans="2:2">
      <c r="B11" s="4" t="s">
        <v>770</v>
      </c>
    </row>
    <row r="12" ht="25.5" customHeight="1" spans="2:2">
      <c r="B12" s="4" t="s">
        <v>771</v>
      </c>
    </row>
    <row r="13" ht="25.5" customHeight="1" spans="2:2">
      <c r="B13" s="4" t="s">
        <v>772</v>
      </c>
    </row>
    <row r="14" ht="25.5" customHeight="1" spans="2:2">
      <c r="B14" s="4" t="s">
        <v>773</v>
      </c>
    </row>
    <row r="16" ht="15" customHeight="1" spans="2:2">
      <c r="B16" s="3" t="s">
        <v>774</v>
      </c>
    </row>
    <row r="17" ht="25.5" customHeight="1" spans="2:2">
      <c r="B17" s="4" t="s">
        <v>775</v>
      </c>
    </row>
    <row r="18" ht="25.5" customHeight="1" spans="2:2">
      <c r="B18" s="4" t="s">
        <v>776</v>
      </c>
    </row>
    <row r="19" ht="25.5" customHeight="1" spans="2:2">
      <c r="B19" s="4" t="s">
        <v>777</v>
      </c>
    </row>
    <row r="20" ht="25.5" customHeight="1" spans="2:2">
      <c r="B20" s="4" t="s">
        <v>778</v>
      </c>
    </row>
    <row r="21" ht="25.5" customHeight="1" spans="2:2">
      <c r="B21" s="4" t="s">
        <v>779</v>
      </c>
    </row>
    <row r="22" ht="25.5" customHeight="1" spans="2:2">
      <c r="B22" s="4" t="s">
        <v>780</v>
      </c>
    </row>
    <row r="23" ht="25.5" customHeight="1" spans="2:2">
      <c r="B23" s="4" t="s">
        <v>781</v>
      </c>
    </row>
    <row r="25" ht="15" customHeight="1" spans="2:2">
      <c r="B25" s="3" t="s">
        <v>782</v>
      </c>
    </row>
    <row r="26" ht="25.5" customHeight="1" spans="2:2">
      <c r="B26" s="4" t="s">
        <v>783</v>
      </c>
    </row>
    <row r="27" ht="25.5" customHeight="1" spans="2:2">
      <c r="B27" s="4" t="s">
        <v>784</v>
      </c>
    </row>
    <row r="28" ht="25.5" customHeight="1" spans="2:2">
      <c r="B28" s="4" t="s">
        <v>785</v>
      </c>
    </row>
    <row r="29" ht="25.5" customHeight="1" spans="2:2">
      <c r="B29" s="4" t="s">
        <v>786</v>
      </c>
    </row>
    <row r="31" ht="15" customHeight="1" spans="2:2">
      <c r="B31" s="3" t="s">
        <v>787</v>
      </c>
    </row>
    <row r="32" ht="25.5" customHeight="1" spans="2:2">
      <c r="B32" s="4" t="s">
        <v>788</v>
      </c>
    </row>
    <row r="33" ht="25.5" customHeight="1" spans="2:2">
      <c r="B33" s="4" t="s">
        <v>789</v>
      </c>
    </row>
    <row r="34" ht="25.5" customHeight="1" spans="2:2">
      <c r="B34" s="4" t="s">
        <v>790</v>
      </c>
    </row>
    <row r="35" ht="25.5" customHeight="1" spans="2:2">
      <c r="B35" s="4" t="s">
        <v>791</v>
      </c>
    </row>
    <row r="36" ht="25.5" customHeight="1" spans="2:2">
      <c r="B36" s="4" t="s">
        <v>792</v>
      </c>
    </row>
    <row r="37" ht="25.5" customHeight="1" spans="2:2">
      <c r="B37" s="4" t="s">
        <v>793</v>
      </c>
    </row>
    <row r="39" ht="15" customHeight="1" spans="2:2">
      <c r="B39" s="3" t="s">
        <v>794</v>
      </c>
    </row>
    <row r="40" ht="25.5" customHeight="1" spans="2:2">
      <c r="B40" s="4" t="s">
        <v>795</v>
      </c>
    </row>
    <row r="41" ht="25.5" customHeight="1" spans="2:2">
      <c r="B41" s="4" t="s">
        <v>796</v>
      </c>
    </row>
    <row r="42" ht="25.5" customHeight="1" spans="2:2">
      <c r="B42" s="4" t="s">
        <v>797</v>
      </c>
    </row>
    <row r="43" ht="25.5" customHeight="1" spans="2:2">
      <c r="B43" s="4" t="s">
        <v>798</v>
      </c>
    </row>
    <row r="44" ht="25.5" customHeight="1" spans="2:2">
      <c r="B44" s="4" t="s">
        <v>799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Pivot_Tables</vt:lpstr>
      <vt:lpstr>Dashboard</vt:lpstr>
      <vt:lpstr>Documentation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Sakthivel</cp:lastModifiedBy>
  <cp:revision>2</cp:revision>
  <dcterms:created xsi:type="dcterms:W3CDTF">2026-07-19T16:30:00Z</dcterms:created>
  <dcterms:modified xsi:type="dcterms:W3CDTF">2026-07-20T16:46:42Z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13A5F997AAEE4AC8A681CA58C5358E7E_12</vt:lpwstr>
  </property>
</Properties>
</file>